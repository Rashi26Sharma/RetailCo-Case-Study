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SHI\Downloads\"/>
    </mc:Choice>
  </mc:AlternateContent>
  <xr:revisionPtr revIDLastSave="0" documentId="13_ncr:1_{D528C297-5ADC-4D96-90BF-5A5DE5C836CF}" xr6:coauthVersionLast="47" xr6:coauthVersionMax="47" xr10:uidLastSave="{00000000-0000-0000-0000-000000000000}"/>
  <bookViews>
    <workbookView xWindow="-108" yWindow="-108" windowWidth="23256" windowHeight="13176" firstSheet="3" activeTab="7" xr2:uid="{00000000-000D-0000-FFFF-FFFF00000000}"/>
  </bookViews>
  <sheets>
    <sheet name="KPIs" sheetId="1" r:id="rId1"/>
    <sheet name="Procurement_Survey" sheetId="2" r:id="rId2"/>
    <sheet name="MWBE_Owner_Survey" sheetId="3" r:id="rId3"/>
    <sheet name="Comparative_Analysis" sheetId="4" r:id="rId4"/>
    <sheet name="Barriers" sheetId="5" r:id="rId5"/>
    <sheet name="Project_Roadmap" sheetId="6" r:id="rId6"/>
    <sheet name="Interview_Coding" sheetId="7" r:id="rId7"/>
    <sheet name="Recommendations" sheetId="8" r:id="rId8"/>
  </sheets>
  <calcPr calcId="0"/>
</workbook>
</file>

<file path=xl/sharedStrings.xml><?xml version="1.0" encoding="utf-8"?>
<sst xmlns="http://schemas.openxmlformats.org/spreadsheetml/2006/main" count="408" uniqueCount="277">
  <si>
    <t>RetailCo — Inclusive Supply Chain · KPI Summary</t>
  </si>
  <si>
    <t>KPI</t>
  </si>
  <si>
    <t>Value</t>
  </si>
  <si>
    <t>Unit</t>
  </si>
  <si>
    <t>Status</t>
  </si>
  <si>
    <t>Priority</t>
  </si>
  <si>
    <t>Notes</t>
  </si>
  <si>
    <t>Target MWBE Supplier Increase</t>
  </si>
  <si>
    <t>x (multiplier)</t>
  </si>
  <si>
    <t>Goal</t>
  </si>
  <si>
    <t>Critical</t>
  </si>
  <si>
    <t>Double current MWBE supplier count</t>
  </si>
  <si>
    <t>CDFI Investment Fund</t>
  </si>
  <si>
    <t>$M</t>
  </si>
  <si>
    <t>Approved</t>
  </si>
  <si>
    <t>Deploy via Community Development FI</t>
  </si>
  <si>
    <t>Project Timeline</t>
  </si>
  <si>
    <t>Weeks</t>
  </si>
  <si>
    <t>On Track</t>
  </si>
  <si>
    <t>High</t>
  </si>
  <si>
    <t>Deliver both outcomes in 10 weeks</t>
  </si>
  <si>
    <t>Financing Gap — MWBE Owners</t>
  </si>
  <si>
    <t>% lacking capital</t>
  </si>
  <si>
    <t>Risk</t>
  </si>
  <si>
    <t>83% lack access to sufficient capital</t>
  </si>
  <si>
    <t>Bias / Prejudice Experienced</t>
  </si>
  <si>
    <t>% MWBE owners</t>
  </si>
  <si>
    <t>94% report bias in procurement dealings</t>
  </si>
  <si>
    <t>Procurement Tracking Diversity</t>
  </si>
  <si>
    <t>% agree tracking</t>
  </si>
  <si>
    <t>Gap</t>
  </si>
  <si>
    <t>Only 30% actively track supplier demographics</t>
  </si>
  <si>
    <t>Active MWBE Sourcing</t>
  </si>
  <si>
    <t>% agree seeking</t>
  </si>
  <si>
    <t>Only 25% actively seek out MWBE suppliers</t>
  </si>
  <si>
    <t>MWBE Perf = Non-MWBE</t>
  </si>
  <si>
    <t>% agree</t>
  </si>
  <si>
    <t>Positive</t>
  </si>
  <si>
    <t>Medium</t>
  </si>
  <si>
    <t>Performance parity undermines risk narrative</t>
  </si>
  <si>
    <t>Social Impact Consensus (Proc.)</t>
  </si>
  <si>
    <t>Strong procurement exec belief in social ROI</t>
  </si>
  <si>
    <t>Social Impact Consensus (MWBE)</t>
  </si>
  <si>
    <t>Near-universal MWBE belief in social ROI</t>
  </si>
  <si>
    <t>Survey Data — Procurement Executives (Likert Scale)</t>
  </si>
  <si>
    <t>Statement</t>
  </si>
  <si>
    <t>Strongly Disagree</t>
  </si>
  <si>
    <t>Disagree</t>
  </si>
  <si>
    <t>Neither</t>
  </si>
  <si>
    <t>Agree</t>
  </si>
  <si>
    <t>Strongly Agree</t>
  </si>
  <si>
    <t>% Positive (A+SA)</t>
  </si>
  <si>
    <t>% Negative (SD+D)</t>
  </si>
  <si>
    <t>We track the demographic traits of our suppliers</t>
  </si>
  <si>
    <t>Our practices do not exclude suppliers based on demographics</t>
  </si>
  <si>
    <t>We actively seek out MWBE suppliers</t>
  </si>
  <si>
    <t>Our supplier base is diverse and inclusive</t>
  </si>
  <si>
    <t>We rely on networking to find the best new suppliers</t>
  </si>
  <si>
    <t>We have participated in unconscious bias training (last 2 yrs)</t>
  </si>
  <si>
    <t>We have programs to help MWBEs with financing</t>
  </si>
  <si>
    <t>MWBE suppliers perform as well as or better than non-MWBEs</t>
  </si>
  <si>
    <t>Increasing supplier diversity minimizes supply chain risk</t>
  </si>
  <si>
    <t>Increasing supplier diversity contributes to financial outcomes</t>
  </si>
  <si>
    <t>Increasing supplier diversity contributes to social outcomes</t>
  </si>
  <si>
    <t>Survey Data — MWBE Owners (Likert Scale)</t>
  </si>
  <si>
    <t>Our target retailers have diverse and inclusive supplier bases</t>
  </si>
  <si>
    <t>Retailers rely on networking to find the best new suppliers</t>
  </si>
  <si>
    <t>We have a strong network to reach target retail buyers</t>
  </si>
  <si>
    <t>We are confident in our ability to meet minimum order quantities</t>
  </si>
  <si>
    <t>We have access to the capital we need to be competitive</t>
  </si>
  <si>
    <t>Target retailers have programs to help MWBEs with financing</t>
  </si>
  <si>
    <t>We have experienced bias or prejudice from retailers / banks</t>
  </si>
  <si>
    <t>Comparative Analysis — Procurement Execs vs MWBE Owners (Shared Topics)</t>
  </si>
  <si>
    <t>Topic</t>
  </si>
  <si>
    <t>Proc. % Positive</t>
  </si>
  <si>
    <t>MWBE % Positive</t>
  </si>
  <si>
    <t>Gap (MWBE - Proc)</t>
  </si>
  <si>
    <t>Insight</t>
  </si>
  <si>
    <t>Action Required</t>
  </si>
  <si>
    <t>Retailers have diverse supplier bases</t>
  </si>
  <si>
    <t>MWBE see less diversity than proclaimed</t>
  </si>
  <si>
    <t>Improve transparency + tracking</t>
  </si>
  <si>
    <t>Rely on networking for new suppliers</t>
  </si>
  <si>
    <t>Agreement — network is king</t>
  </si>
  <si>
    <t>Formalize MWBE networking programs</t>
  </si>
  <si>
    <t>Financing programs exist for MWBEs</t>
  </si>
  <si>
    <t>Both see massive gap in financing support</t>
  </si>
  <si>
    <t>CDFI fund + revised lending criteria</t>
  </si>
  <si>
    <t>Diversity → financial outcomes</t>
  </si>
  <si>
    <t>MWBEs more bullish on financial case</t>
  </si>
  <si>
    <t>Use MWBE case studies to shift exec view</t>
  </si>
  <si>
    <t>Diversity → social outcomes</t>
  </si>
  <si>
    <t>Near-universal agreement on social value</t>
  </si>
  <si>
    <t>Lead comms with shared social mission</t>
  </si>
  <si>
    <t>Barrier Analysis — Coded from Stakeholder Interviews</t>
  </si>
  <si>
    <t>Barrier</t>
  </si>
  <si>
    <t>Type</t>
  </si>
  <si>
    <t># Interview Mentions</t>
  </si>
  <si>
    <t>Severity</t>
  </si>
  <si>
    <t>Primary Affected</t>
  </si>
  <si>
    <t>Benchmark Evidence</t>
  </si>
  <si>
    <t>Recommended Resolution</t>
  </si>
  <si>
    <t>Network / Access to buyers</t>
  </si>
  <si>
    <t>Structural</t>
  </si>
  <si>
    <t>MWBE Owners</t>
  </si>
  <si>
    <t>RetailerA: Developed MWBE outreach program</t>
  </si>
  <si>
    <t>Active MWBE sourcing; supplier portal; networking events</t>
  </si>
  <si>
    <t>Financing / Capital access</t>
  </si>
  <si>
    <t>RetailerB: Addressing min. order &amp; financing</t>
  </si>
  <si>
    <t>Deploy $25M CDFI; lower min. order reqs for MWBEs</t>
  </si>
  <si>
    <t>Rigid procurement standards</t>
  </si>
  <si>
    <t>Process</t>
  </si>
  <si>
    <t>Both</t>
  </si>
  <si>
    <t>RetailerA: Developed localized model</t>
  </si>
  <si>
    <t>Revise procurement rules; create MWBE-specific pathway</t>
  </si>
  <si>
    <t>Unconscious bias</t>
  </si>
  <si>
    <t>Cultural</t>
  </si>
  <si>
    <t>RetailerB: Bias training + data tracking</t>
  </si>
  <si>
    <t>Mandatory bias training; blind scoring for MWBE pitches</t>
  </si>
  <si>
    <t>Low outreach / passive approach</t>
  </si>
  <si>
    <t>Strategic</t>
  </si>
  <si>
    <t>RetailCo</t>
  </si>
  <si>
    <t>RetailerA: Proactive MWBE outreach</t>
  </si>
  <si>
    <t>Set MWBE targets; proactive outreach program</t>
  </si>
  <si>
    <t>Rigid meeting requirements</t>
  </si>
  <si>
    <t>N/A</t>
  </si>
  <si>
    <t>Allow virtual pitch meetings; flexible scheduling</t>
  </si>
  <si>
    <t>Risk perception / bias history</t>
  </si>
  <si>
    <t>RetailerC (negative benchmark)</t>
  </si>
  <si>
    <t>Build evidence base; champion internal MWBE success stories</t>
  </si>
  <si>
    <t>10-Week Project Roadmap — Both Workstreams (Gantt-ready)</t>
  </si>
  <si>
    <t>Workstream</t>
  </si>
  <si>
    <t>Phase</t>
  </si>
  <si>
    <t>Activity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</si>
  <si>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</si>
  <si>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</si>
  <si>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</si>
  <si>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</si>
  <si>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</si>
  <si>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</si>
  <si>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</si>
  <si>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</si>
  <si>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</si>
  <si>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</si>
  <si>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MWBE Supplier %</t>
  </si>
  <si>
    <t>Research</t>
  </si>
  <si>
    <t>Identify stakeholders</t>
  </si>
  <si>
    <t>■</t>
  </si>
  <si>
    <t>Conduct procurement interviews</t>
  </si>
  <si>
    <t>Supplier surveys</t>
  </si>
  <si>
    <t>Fact-base</t>
  </si>
  <si>
    <t>Develop current state supplier base</t>
  </si>
  <si>
    <t>Analyze MWBE pitch data</t>
  </si>
  <si>
    <t>Strategy Dev.</t>
  </si>
  <si>
    <t>Vision &amp; mission</t>
  </si>
  <si>
    <t>Strategic pillars &amp; enablers</t>
  </si>
  <si>
    <t>Operating model design</t>
  </si>
  <si>
    <t>Roll-out</t>
  </si>
  <si>
    <t>Opportunity identification</t>
  </si>
  <si>
    <t>Procurement function training</t>
  </si>
  <si>
    <t>CDFI Investment</t>
  </si>
  <si>
    <t>Stakeholder interviews</t>
  </si>
  <si>
    <t>Investment Thesis</t>
  </si>
  <si>
    <t>Financial imperatives analysis</t>
  </si>
  <si>
    <t>Other imperatives (social/ESG)</t>
  </si>
  <si>
    <t>Fund Options</t>
  </si>
  <si>
    <t>Long-list CDFI options</t>
  </si>
  <si>
    <t>Weighted criteria framework</t>
  </si>
  <si>
    <t>Shortlist</t>
  </si>
  <si>
    <t>Prioritized CDFI shortlist</t>
  </si>
  <si>
    <t>Governance &amp; operating model</t>
  </si>
  <si>
    <t>Selection</t>
  </si>
  <si>
    <t>Final CDFI recommendation</t>
  </si>
  <si>
    <t>Stakeholder Interview Coding — All 9 Interviews</t>
  </si>
  <si>
    <t>Interviewee</t>
  </si>
  <si>
    <t>Role / Company</t>
  </si>
  <si>
    <t>Stakeholder Group</t>
  </si>
  <si>
    <t>Barrier Mentioned</t>
  </si>
  <si>
    <t>Opportunity Flagged</t>
  </si>
  <si>
    <t>Sentiment</t>
  </si>
  <si>
    <t>Key Quote (abbreviated)</t>
  </si>
  <si>
    <t>John Jenkins</t>
  </si>
  <si>
    <t>CPO, RetailCo</t>
  </si>
  <si>
    <t>Procurement Exec</t>
  </si>
  <si>
    <t>Rigid procurement standards; passive outreach</t>
  </si>
  <si>
    <t>Willingness to change standards</t>
  </si>
  <si>
    <t>Need to change procurement standards to be fit for purpose</t>
  </si>
  <si>
    <t>Albert McFarland</t>
  </si>
  <si>
    <t>Director of Procurement</t>
  </si>
  <si>
    <t>Low MWBE outreach; financing gap</t>
  </si>
  <si>
    <t>Sees quality parity; wants to fix access</t>
  </si>
  <si>
    <t>Neutral</t>
  </si>
  <si>
    <t>No difference in quality — just approached less and financing harder</t>
  </si>
  <si>
    <t>Stephanie Hernandez</t>
  </si>
  <si>
    <t>Procurement Exec, RetailerA</t>
  </si>
  <si>
    <t>Benchmark</t>
  </si>
  <si>
    <t>Scale &amp; supply chain coverage</t>
  </si>
  <si>
    <t>Localized model; award-winning program</t>
  </si>
  <si>
    <t>Developed a new, localized model to support MWBEs</t>
  </si>
  <si>
    <t>Natalie Hellman</t>
  </si>
  <si>
    <t>Procurement Exec, RetailerB</t>
  </si>
  <si>
    <t>Min. order reqs; financing</t>
  </si>
  <si>
    <t>Bias training; considering financing help</t>
  </si>
  <si>
    <t>MWBEs had a tough time meeting minimum order requirements</t>
  </si>
  <si>
    <t>Lindsey Smith</t>
  </si>
  <si>
    <t>Procurement Exec, RetailerC</t>
  </si>
  <si>
    <t>Risk-averse</t>
  </si>
  <si>
    <t>Risk aversion; single negative experience</t>
  </si>
  <si>
    <t>None flagged</t>
  </si>
  <si>
    <t>Negative</t>
  </si>
  <si>
    <t>Things kind of imploded — not very willing to focus on inclusive supply chain</t>
  </si>
  <si>
    <t>Hayet King</t>
  </si>
  <si>
    <t>Owner, Clothing Mfr.</t>
  </si>
  <si>
    <t>MWBE Owner</t>
  </si>
  <si>
    <t>Networking / no access to large buyers</t>
  </si>
  <si>
    <t>Strong product; in 2 smaller chains</t>
  </si>
  <si>
    <t>Frustrated</t>
  </si>
  <si>
    <t>Just don't know where to start; the network is huge</t>
  </si>
  <si>
    <t>Samaya Housseini</t>
  </si>
  <si>
    <t>Owner, Candle &amp; Incense Mfr.</t>
  </si>
  <si>
    <t>Rigid process (HQ travel); accessibility</t>
  </si>
  <si>
    <t>Strong product quality</t>
  </si>
  <si>
    <t>Can't fly to middle of nowhere for a 20-minute meeting</t>
  </si>
  <si>
    <t>Jarell Howell</t>
  </si>
  <si>
    <t>CRO, Soft Drinks Mfr.</t>
  </si>
  <si>
    <t>Financing / bank credit limits</t>
  </si>
  <si>
    <t>Retailer interest; letters of intent</t>
  </si>
  <si>
    <t>Don't have the working capital; banks not willing to increase credit line</t>
  </si>
  <si>
    <t>Andy Bowman</t>
  </si>
  <si>
    <t>Owner, Party Goods Mfr.</t>
  </si>
  <si>
    <t>Conscious / unconscious bias</t>
  </si>
  <si>
    <t>Colleagues got better terms — systemic gap</t>
  </si>
  <si>
    <t>Felt we had to clear a bar that was a lot higher than others</t>
  </si>
  <si>
    <t>Strategic Recommendations — Opportunity Impact Matrix</t>
  </si>
  <si>
    <t>Recommendation</t>
  </si>
  <si>
    <t>Category</t>
  </si>
  <si>
    <t>Impact Score (1-10)</t>
  </si>
  <si>
    <t>Ease Score (1-10)</t>
  </si>
  <si>
    <t>Timeline (Week)</t>
  </si>
  <si>
    <t>Investment Required</t>
  </si>
  <si>
    <t>Barrier Addressed</t>
  </si>
  <si>
    <t>Evidence / Source</t>
  </si>
  <si>
    <t>Launch MWBE Supplier Portal</t>
  </si>
  <si>
    <t>Network</t>
  </si>
  <si>
    <t>Wk 8</t>
  </si>
  <si>
    <t>Network / Access</t>
  </si>
  <si>
    <t>RetailerA benchmark; interview #1, #6</t>
  </si>
  <si>
    <t>Deploy $25M CDFI Fund</t>
  </si>
  <si>
    <t>Financing</t>
  </si>
  <si>
    <t>Wk 10</t>
  </si>
  <si>
    <t>Financing / Capital</t>
  </si>
  <si>
    <t>Interviews #8; Survey: 83% MWBE lack capital</t>
  </si>
  <si>
    <t>Revise Minimum Order Requirements</t>
  </si>
  <si>
    <t>Wk 9</t>
  </si>
  <si>
    <t>Low</t>
  </si>
  <si>
    <t>Financing / Rigid rules</t>
  </si>
  <si>
    <t>Interviews #4, #7, #8; RetailerB</t>
  </si>
  <si>
    <t>Mandatory Unconscious Bias Training</t>
  </si>
  <si>
    <t>Culture</t>
  </si>
  <si>
    <t>Wk 6</t>
  </si>
  <si>
    <t>Unconscious Bias</t>
  </si>
  <si>
    <t>Interview #4 (RetailerB); Interview #9</t>
  </si>
  <si>
    <t>Implement Supplier Diversity Tracking</t>
  </si>
  <si>
    <t>Wk 4</t>
  </si>
  <si>
    <t>Passive outreach</t>
  </si>
  <si>
    <t>Survey: only 30% track; Interview #2</t>
  </si>
  <si>
    <t>Allow Virtual Pitch Meetings</t>
  </si>
  <si>
    <t>Wk 7</t>
  </si>
  <si>
    <t>Rigid process</t>
  </si>
  <si>
    <t>Interview #7 (Samaya H.)</t>
  </si>
  <si>
    <t>MWBE Financing Support Model</t>
  </si>
  <si>
    <t>RetailerA model; Interviews #3, #4, #8</t>
  </si>
  <si>
    <t>Proactive MWBE Outreach Program</t>
  </si>
  <si>
    <t>Wk 5</t>
  </si>
  <si>
    <t>Network / Passive appr.</t>
  </si>
  <si>
    <t>Interview #1 (CPO); RetailerA benchmark</t>
  </si>
  <si>
    <t xml:space="preserve">★ MID-POINT READOUT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</si>
</sst>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%"/>
    <numFmt numFmtId="165" formatCode="\+0%;\-0%;0%"/>
  </numFmts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1A1A2E"/>
      <name val="Arial"/>
    </font>
    <font>
      <b/>
      <sz val="10"/>
      <color rgb="FF185FA5"/>
      <name val="Arial"/>
    </font>
    <font>
      <b/>
      <sz val="10"/>
      <color rgb="FF0F6E56"/>
      <name val="Arial"/>
    </font>
    <font>
      <b/>
      <sz val="10"/>
      <color rgb="FF1D9E75"/>
      <name val="Arial"/>
    </font>
    <font>
      <b/>
      <sz val="10"/>
      <color rgb="FFA32D2D"/>
      <name val="Arial"/>
    </font>
    <font>
      <b/>
      <sz val="10"/>
      <color rgb="FFBA7517"/>
      <name val="Arial"/>
    </font>
    <font>
      <i/>
      <sz val="9"/>
      <color rgb="FF888780"/>
      <name val="Arial"/>
    </font>
    <font>
      <sz val="8"/>
      <color rgb="FFFFFFFF"/>
      <name val="Calibri"/>
    </font>
    <font>
      <b/>
      <sz val="9"/>
      <color rgb="FFBA7517"/>
      <name val="Arial"/>
    </font>
    <font>
      <b/>
      <sz val="10"/>
      <color rgb="FF2C2C2A"/>
      <name val="Arial"/>
    </font>
  </fonts>
  <fills count="11">
    <fill>
      <patternFill patternType="none"/>
    </fill>
    <fill>
      <patternFill patternType="gray125"/>
    </fill>
    <fill>
      <patternFill patternType="solid">
        <fgColor rgb="FF0F6E56"/>
      </patternFill>
    </fill>
    <fill>
      <patternFill patternType="solid">
        <fgColor rgb="FF1D9E75"/>
      </patternFill>
    </fill>
    <fill>
      <patternFill patternType="solid">
        <fgColor rgb="FFFFFFFF"/>
      </patternFill>
    </fill>
    <fill>
      <patternFill patternType="solid">
        <fgColor rgb="FFE6F1FB"/>
      </patternFill>
    </fill>
    <fill>
      <patternFill patternType="solid">
        <fgColor rgb="FFF4F5F7"/>
      </patternFill>
    </fill>
    <fill>
      <patternFill patternType="solid">
        <fgColor rgb="FFE1F5E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185FA5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3" fontId="3" fillId="6" borderId="1" xfId="0" applyNumberFormat="1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left" vertical="center" wrapText="1"/>
    </xf>
    <xf numFmtId="9" fontId="8" fillId="9" borderId="1" xfId="0" applyNumberFormat="1" applyFont="1" applyFill="1" applyBorder="1" applyAlignment="1">
      <alignment horizontal="left" vertical="center" wrapText="1"/>
    </xf>
    <xf numFmtId="9" fontId="7" fillId="8" borderId="1" xfId="0" applyNumberFormat="1" applyFont="1" applyFill="1" applyBorder="1" applyAlignment="1">
      <alignment horizontal="left" vertical="center" wrapText="1"/>
    </xf>
    <xf numFmtId="9" fontId="3" fillId="6" borderId="1" xfId="0" applyNumberFormat="1" applyFont="1" applyFill="1" applyBorder="1" applyAlignment="1">
      <alignment horizontal="left" vertical="center" wrapText="1"/>
    </xf>
    <xf numFmtId="9" fontId="5" fillId="7" borderId="1" xfId="0" applyNumberFormat="1" applyFont="1" applyFill="1" applyBorder="1" applyAlignment="1">
      <alignment horizontal="left" vertical="center" wrapText="1"/>
    </xf>
    <xf numFmtId="165" fontId="3" fillId="4" borderId="1" xfId="0" applyNumberFormat="1" applyFont="1" applyFill="1" applyBorder="1" applyAlignment="1">
      <alignment horizontal="left" vertical="center" wrapText="1"/>
    </xf>
    <xf numFmtId="165" fontId="3" fillId="6" borderId="1" xfId="0" applyNumberFormat="1" applyFont="1" applyFill="1" applyBorder="1" applyAlignment="1">
      <alignment horizontal="left" vertical="center" wrapText="1"/>
    </xf>
    <xf numFmtId="165" fontId="5" fillId="7" borderId="1" xfId="0" applyNumberFormat="1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9" fillId="0" borderId="0" xfId="0" applyFont="1" applyAlignment="1">
      <alignment horizontal="left" vertical="center" wrapText="1"/>
    </xf>
    <xf numFmtId="0" fontId="11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Survey</a:t>
            </a:r>
            <a:r>
              <a:rPr lang="en-IN" baseline="0"/>
              <a:t> Data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MWBE_Owner_Survey!$B$4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MWBE_Owner_Survey!$A$5:$A$14</c:f>
              <c:strCache>
                <c:ptCount val="10"/>
                <c:pt idx="0">
                  <c:v>Our target retailers have diverse and inclusive supplier bases</c:v>
                </c:pt>
                <c:pt idx="1">
                  <c:v>Retailers rely on networking to find the best new suppliers</c:v>
                </c:pt>
                <c:pt idx="2">
                  <c:v>We have a strong network to reach target retail buyers</c:v>
                </c:pt>
                <c:pt idx="3">
                  <c:v>We are confident in our ability to meet minimum order quantities</c:v>
                </c:pt>
                <c:pt idx="4">
                  <c:v>We have access to the capital we need to be competitive</c:v>
                </c:pt>
                <c:pt idx="5">
                  <c:v>Target retailers have programs to help MWBEs with financing</c:v>
                </c:pt>
                <c:pt idx="6">
                  <c:v>Increasing supplier diversity minimizes supply chain risk</c:v>
                </c:pt>
                <c:pt idx="7">
                  <c:v>Increasing supplier diversity contributes to financial outcomes</c:v>
                </c:pt>
                <c:pt idx="8">
                  <c:v>Increasing supplier diversity contributes to social outcomes</c:v>
                </c:pt>
                <c:pt idx="9">
                  <c:v>We have experienced bias or prejudice from retailers / banks</c:v>
                </c:pt>
              </c:strCache>
            </c:strRef>
          </c:cat>
          <c:val>
            <c:numRef>
              <c:f>MWBE_Owner_Survey!$B$5:$B$14</c:f>
              <c:numCache>
                <c:formatCode>0%</c:formatCode>
                <c:ptCount val="10"/>
                <c:pt idx="0">
                  <c:v>0.23</c:v>
                </c:pt>
                <c:pt idx="1">
                  <c:v>7.0000000000000007E-2</c:v>
                </c:pt>
                <c:pt idx="2">
                  <c:v>0.18</c:v>
                </c:pt>
                <c:pt idx="3">
                  <c:v>0.33</c:v>
                </c:pt>
                <c:pt idx="4">
                  <c:v>0.32</c:v>
                </c:pt>
                <c:pt idx="5">
                  <c:v>0.64</c:v>
                </c:pt>
                <c:pt idx="6">
                  <c:v>7.0000000000000007E-2</c:v>
                </c:pt>
                <c:pt idx="7">
                  <c:v>0.05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D-4D77-A17A-F1F1F1D2A274}"/>
            </c:ext>
          </c:extLst>
        </c:ser>
        <c:ser>
          <c:idx val="1"/>
          <c:order val="1"/>
          <c:tx>
            <c:strRef>
              <c:f>MWBE_Owner_Survey!$C$4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MWBE_Owner_Survey!$A$5:$A$14</c:f>
              <c:strCache>
                <c:ptCount val="10"/>
                <c:pt idx="0">
                  <c:v>Our target retailers have diverse and inclusive supplier bases</c:v>
                </c:pt>
                <c:pt idx="1">
                  <c:v>Retailers rely on networking to find the best new suppliers</c:v>
                </c:pt>
                <c:pt idx="2">
                  <c:v>We have a strong network to reach target retail buyers</c:v>
                </c:pt>
                <c:pt idx="3">
                  <c:v>We are confident in our ability to meet minimum order quantities</c:v>
                </c:pt>
                <c:pt idx="4">
                  <c:v>We have access to the capital we need to be competitive</c:v>
                </c:pt>
                <c:pt idx="5">
                  <c:v>Target retailers have programs to help MWBEs with financing</c:v>
                </c:pt>
                <c:pt idx="6">
                  <c:v>Increasing supplier diversity minimizes supply chain risk</c:v>
                </c:pt>
                <c:pt idx="7">
                  <c:v>Increasing supplier diversity contributes to financial outcomes</c:v>
                </c:pt>
                <c:pt idx="8">
                  <c:v>Increasing supplier diversity contributes to social outcomes</c:v>
                </c:pt>
                <c:pt idx="9">
                  <c:v>We have experienced bias or prejudice from retailers / banks</c:v>
                </c:pt>
              </c:strCache>
            </c:strRef>
          </c:cat>
          <c:val>
            <c:numRef>
              <c:f>MWBE_Owner_Survey!$C$5:$C$14</c:f>
              <c:numCache>
                <c:formatCode>0%</c:formatCode>
                <c:ptCount val="10"/>
                <c:pt idx="0">
                  <c:v>0.32</c:v>
                </c:pt>
                <c:pt idx="1">
                  <c:v>0.18</c:v>
                </c:pt>
                <c:pt idx="2">
                  <c:v>0.23</c:v>
                </c:pt>
                <c:pt idx="3">
                  <c:v>0.19</c:v>
                </c:pt>
                <c:pt idx="4">
                  <c:v>0.31</c:v>
                </c:pt>
                <c:pt idx="5">
                  <c:v>0.19</c:v>
                </c:pt>
                <c:pt idx="6">
                  <c:v>0.19</c:v>
                </c:pt>
                <c:pt idx="7">
                  <c:v>0.14000000000000001</c:v>
                </c:pt>
                <c:pt idx="8">
                  <c:v>0</c:v>
                </c:pt>
                <c:pt idx="9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0D-4D77-A17A-F1F1F1D2A274}"/>
            </c:ext>
          </c:extLst>
        </c:ser>
        <c:ser>
          <c:idx val="2"/>
          <c:order val="2"/>
          <c:tx>
            <c:strRef>
              <c:f>MWBE_Owner_Survey!$D$4</c:f>
              <c:strCache>
                <c:ptCount val="1"/>
                <c:pt idx="0">
                  <c:v>Neither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MWBE_Owner_Survey!$A$5:$A$14</c:f>
              <c:strCache>
                <c:ptCount val="10"/>
                <c:pt idx="0">
                  <c:v>Our target retailers have diverse and inclusive supplier bases</c:v>
                </c:pt>
                <c:pt idx="1">
                  <c:v>Retailers rely on networking to find the best new suppliers</c:v>
                </c:pt>
                <c:pt idx="2">
                  <c:v>We have a strong network to reach target retail buyers</c:v>
                </c:pt>
                <c:pt idx="3">
                  <c:v>We are confident in our ability to meet minimum order quantities</c:v>
                </c:pt>
                <c:pt idx="4">
                  <c:v>We have access to the capital we need to be competitive</c:v>
                </c:pt>
                <c:pt idx="5">
                  <c:v>Target retailers have programs to help MWBEs with financing</c:v>
                </c:pt>
                <c:pt idx="6">
                  <c:v>Increasing supplier diversity minimizes supply chain risk</c:v>
                </c:pt>
                <c:pt idx="7">
                  <c:v>Increasing supplier diversity contributes to financial outcomes</c:v>
                </c:pt>
                <c:pt idx="8">
                  <c:v>Increasing supplier diversity contributes to social outcomes</c:v>
                </c:pt>
                <c:pt idx="9">
                  <c:v>We have experienced bias or prejudice from retailers / banks</c:v>
                </c:pt>
              </c:strCache>
            </c:strRef>
          </c:cat>
          <c:val>
            <c:numRef>
              <c:f>MWBE_Owner_Survey!$D$5:$D$14</c:f>
              <c:numCache>
                <c:formatCode>0%</c:formatCode>
                <c:ptCount val="10"/>
                <c:pt idx="0">
                  <c:v>0.27</c:v>
                </c:pt>
                <c:pt idx="1">
                  <c:v>0.12</c:v>
                </c:pt>
                <c:pt idx="2">
                  <c:v>0.22</c:v>
                </c:pt>
                <c:pt idx="3">
                  <c:v>0.1</c:v>
                </c:pt>
                <c:pt idx="4">
                  <c:v>0.05</c:v>
                </c:pt>
                <c:pt idx="5">
                  <c:v>0.06</c:v>
                </c:pt>
                <c:pt idx="6">
                  <c:v>0.35</c:v>
                </c:pt>
                <c:pt idx="7">
                  <c:v>0.24</c:v>
                </c:pt>
                <c:pt idx="8">
                  <c:v>7.0000000000000007E-2</c:v>
                </c:pt>
                <c:pt idx="9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0D-4D77-A17A-F1F1F1D2A274}"/>
            </c:ext>
          </c:extLst>
        </c:ser>
        <c:ser>
          <c:idx val="3"/>
          <c:order val="3"/>
          <c:tx>
            <c:strRef>
              <c:f>MWBE_Owner_Survey!$E$4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MWBE_Owner_Survey!$A$5:$A$14</c:f>
              <c:strCache>
                <c:ptCount val="10"/>
                <c:pt idx="0">
                  <c:v>Our target retailers have diverse and inclusive supplier bases</c:v>
                </c:pt>
                <c:pt idx="1">
                  <c:v>Retailers rely on networking to find the best new suppliers</c:v>
                </c:pt>
                <c:pt idx="2">
                  <c:v>We have a strong network to reach target retail buyers</c:v>
                </c:pt>
                <c:pt idx="3">
                  <c:v>We are confident in our ability to meet minimum order quantities</c:v>
                </c:pt>
                <c:pt idx="4">
                  <c:v>We have access to the capital we need to be competitive</c:v>
                </c:pt>
                <c:pt idx="5">
                  <c:v>Target retailers have programs to help MWBEs with financing</c:v>
                </c:pt>
                <c:pt idx="6">
                  <c:v>Increasing supplier diversity minimizes supply chain risk</c:v>
                </c:pt>
                <c:pt idx="7">
                  <c:v>Increasing supplier diversity contributes to financial outcomes</c:v>
                </c:pt>
                <c:pt idx="8">
                  <c:v>Increasing supplier diversity contributes to social outcomes</c:v>
                </c:pt>
                <c:pt idx="9">
                  <c:v>We have experienced bias or prejudice from retailers / banks</c:v>
                </c:pt>
              </c:strCache>
            </c:strRef>
          </c:cat>
          <c:val>
            <c:numRef>
              <c:f>MWBE_Owner_Survey!$E$5:$E$14</c:f>
              <c:numCache>
                <c:formatCode>0%</c:formatCode>
                <c:ptCount val="10"/>
                <c:pt idx="0">
                  <c:v>0.12</c:v>
                </c:pt>
                <c:pt idx="1">
                  <c:v>0.28000000000000003</c:v>
                </c:pt>
                <c:pt idx="2">
                  <c:v>0.24</c:v>
                </c:pt>
                <c:pt idx="3">
                  <c:v>0.19</c:v>
                </c:pt>
                <c:pt idx="4">
                  <c:v>0.21</c:v>
                </c:pt>
                <c:pt idx="5">
                  <c:v>0.08</c:v>
                </c:pt>
                <c:pt idx="6">
                  <c:v>0.21</c:v>
                </c:pt>
                <c:pt idx="7">
                  <c:v>0.36</c:v>
                </c:pt>
                <c:pt idx="8">
                  <c:v>0.12</c:v>
                </c:pt>
                <c:pt idx="9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0D-4D77-A17A-F1F1F1D2A274}"/>
            </c:ext>
          </c:extLst>
        </c:ser>
        <c:ser>
          <c:idx val="4"/>
          <c:order val="4"/>
          <c:tx>
            <c:strRef>
              <c:f>MWBE_Owner_Survey!$F$4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MWBE_Owner_Survey!$A$5:$A$14</c:f>
              <c:strCache>
                <c:ptCount val="10"/>
                <c:pt idx="0">
                  <c:v>Our target retailers have diverse and inclusive supplier bases</c:v>
                </c:pt>
                <c:pt idx="1">
                  <c:v>Retailers rely on networking to find the best new suppliers</c:v>
                </c:pt>
                <c:pt idx="2">
                  <c:v>We have a strong network to reach target retail buyers</c:v>
                </c:pt>
                <c:pt idx="3">
                  <c:v>We are confident in our ability to meet minimum order quantities</c:v>
                </c:pt>
                <c:pt idx="4">
                  <c:v>We have access to the capital we need to be competitive</c:v>
                </c:pt>
                <c:pt idx="5">
                  <c:v>Target retailers have programs to help MWBEs with financing</c:v>
                </c:pt>
                <c:pt idx="6">
                  <c:v>Increasing supplier diversity minimizes supply chain risk</c:v>
                </c:pt>
                <c:pt idx="7">
                  <c:v>Increasing supplier diversity contributes to financial outcomes</c:v>
                </c:pt>
                <c:pt idx="8">
                  <c:v>Increasing supplier diversity contributes to social outcomes</c:v>
                </c:pt>
                <c:pt idx="9">
                  <c:v>We have experienced bias or prejudice from retailers / banks</c:v>
                </c:pt>
              </c:strCache>
            </c:strRef>
          </c:cat>
          <c:val>
            <c:numRef>
              <c:f>MWBE_Owner_Survey!$F$5:$F$14</c:f>
              <c:numCache>
                <c:formatCode>0%</c:formatCode>
                <c:ptCount val="10"/>
                <c:pt idx="0">
                  <c:v>0.06</c:v>
                </c:pt>
                <c:pt idx="1">
                  <c:v>0.35</c:v>
                </c:pt>
                <c:pt idx="2">
                  <c:v>0.13</c:v>
                </c:pt>
                <c:pt idx="3">
                  <c:v>0.19</c:v>
                </c:pt>
                <c:pt idx="4">
                  <c:v>0.11</c:v>
                </c:pt>
                <c:pt idx="5">
                  <c:v>0.03</c:v>
                </c:pt>
                <c:pt idx="6">
                  <c:v>0.18</c:v>
                </c:pt>
                <c:pt idx="7">
                  <c:v>0.21</c:v>
                </c:pt>
                <c:pt idx="8">
                  <c:v>0.81</c:v>
                </c:pt>
                <c:pt idx="9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0D-4D77-A17A-F1F1F1D2A274}"/>
            </c:ext>
          </c:extLst>
        </c:ser>
        <c:ser>
          <c:idx val="5"/>
          <c:order val="5"/>
          <c:tx>
            <c:strRef>
              <c:f>MWBE_Owner_Survey!$G$4</c:f>
              <c:strCache>
                <c:ptCount val="1"/>
                <c:pt idx="0">
                  <c:v>% Positive (A+SA)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MWBE_Owner_Survey!$A$5:$A$14</c:f>
              <c:strCache>
                <c:ptCount val="10"/>
                <c:pt idx="0">
                  <c:v>Our target retailers have diverse and inclusive supplier bases</c:v>
                </c:pt>
                <c:pt idx="1">
                  <c:v>Retailers rely on networking to find the best new suppliers</c:v>
                </c:pt>
                <c:pt idx="2">
                  <c:v>We have a strong network to reach target retail buyers</c:v>
                </c:pt>
                <c:pt idx="3">
                  <c:v>We are confident in our ability to meet minimum order quantities</c:v>
                </c:pt>
                <c:pt idx="4">
                  <c:v>We have access to the capital we need to be competitive</c:v>
                </c:pt>
                <c:pt idx="5">
                  <c:v>Target retailers have programs to help MWBEs with financing</c:v>
                </c:pt>
                <c:pt idx="6">
                  <c:v>Increasing supplier diversity minimizes supply chain risk</c:v>
                </c:pt>
                <c:pt idx="7">
                  <c:v>Increasing supplier diversity contributes to financial outcomes</c:v>
                </c:pt>
                <c:pt idx="8">
                  <c:v>Increasing supplier diversity contributes to social outcomes</c:v>
                </c:pt>
                <c:pt idx="9">
                  <c:v>We have experienced bias or prejudice from retailers / banks</c:v>
                </c:pt>
              </c:strCache>
            </c:strRef>
          </c:cat>
          <c:val>
            <c:numRef>
              <c:f>MWBE_Owner_Survey!$G$5:$G$14</c:f>
              <c:numCache>
                <c:formatCode>0%</c:formatCode>
                <c:ptCount val="10"/>
                <c:pt idx="0">
                  <c:v>0.18</c:v>
                </c:pt>
                <c:pt idx="1">
                  <c:v>0.63</c:v>
                </c:pt>
                <c:pt idx="2">
                  <c:v>0.37</c:v>
                </c:pt>
                <c:pt idx="3">
                  <c:v>0.38</c:v>
                </c:pt>
                <c:pt idx="4">
                  <c:v>0.32</c:v>
                </c:pt>
                <c:pt idx="5">
                  <c:v>0.11</c:v>
                </c:pt>
                <c:pt idx="6">
                  <c:v>0.39</c:v>
                </c:pt>
                <c:pt idx="7">
                  <c:v>0.56999999999999995</c:v>
                </c:pt>
                <c:pt idx="8">
                  <c:v>0.93</c:v>
                </c:pt>
                <c:pt idx="9">
                  <c:v>0.94000000000000006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0D-4D77-A17A-F1F1F1D2A274}"/>
            </c:ext>
          </c:extLst>
        </c:ser>
        <c:ser>
          <c:idx val="6"/>
          <c:order val="6"/>
          <c:tx>
            <c:strRef>
              <c:f>MWBE_Owner_Survey!$H$4</c:f>
              <c:strCache>
                <c:ptCount val="1"/>
                <c:pt idx="0">
                  <c:v>% Negative (SD+D)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MWBE_Owner_Survey!$A$5:$A$14</c:f>
              <c:strCache>
                <c:ptCount val="10"/>
                <c:pt idx="0">
                  <c:v>Our target retailers have diverse and inclusive supplier bases</c:v>
                </c:pt>
                <c:pt idx="1">
                  <c:v>Retailers rely on networking to find the best new suppliers</c:v>
                </c:pt>
                <c:pt idx="2">
                  <c:v>We have a strong network to reach target retail buyers</c:v>
                </c:pt>
                <c:pt idx="3">
                  <c:v>We are confident in our ability to meet minimum order quantities</c:v>
                </c:pt>
                <c:pt idx="4">
                  <c:v>We have access to the capital we need to be competitive</c:v>
                </c:pt>
                <c:pt idx="5">
                  <c:v>Target retailers have programs to help MWBEs with financing</c:v>
                </c:pt>
                <c:pt idx="6">
                  <c:v>Increasing supplier diversity minimizes supply chain risk</c:v>
                </c:pt>
                <c:pt idx="7">
                  <c:v>Increasing supplier diversity contributes to financial outcomes</c:v>
                </c:pt>
                <c:pt idx="8">
                  <c:v>Increasing supplier diversity contributes to social outcomes</c:v>
                </c:pt>
                <c:pt idx="9">
                  <c:v>We have experienced bias or prejudice from retailers / banks</c:v>
                </c:pt>
              </c:strCache>
            </c:strRef>
          </c:cat>
          <c:val>
            <c:numRef>
              <c:f>MWBE_Owner_Survey!$H$5:$H$14</c:f>
              <c:numCache>
                <c:formatCode>0%</c:formatCode>
                <c:ptCount val="10"/>
                <c:pt idx="0">
                  <c:v>0.55000000000000004</c:v>
                </c:pt>
                <c:pt idx="1">
                  <c:v>0.25</c:v>
                </c:pt>
                <c:pt idx="2">
                  <c:v>0.41</c:v>
                </c:pt>
                <c:pt idx="3">
                  <c:v>0.52</c:v>
                </c:pt>
                <c:pt idx="4">
                  <c:v>0.63</c:v>
                </c:pt>
                <c:pt idx="5">
                  <c:v>0.83000000000000007</c:v>
                </c:pt>
                <c:pt idx="6">
                  <c:v>0.26</c:v>
                </c:pt>
                <c:pt idx="7">
                  <c:v>0.19</c:v>
                </c:pt>
                <c:pt idx="8">
                  <c:v>0</c:v>
                </c:pt>
                <c:pt idx="9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0D-4D77-A17A-F1F1F1D2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520080"/>
        <c:axId val="125521040"/>
      </c:barChart>
      <c:catAx>
        <c:axId val="125520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21040"/>
        <c:crosses val="autoZero"/>
        <c:auto val="1"/>
        <c:lblAlgn val="ctr"/>
        <c:lblOffset val="100"/>
        <c:noMultiLvlLbl val="0"/>
      </c:catAx>
      <c:valAx>
        <c:axId val="12552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2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Comparative</a:t>
            </a:r>
            <a:r>
              <a:rPr lang="en-IN" baseline="0"/>
              <a:t>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Comparative_Analysis!$B$3</c:f>
              <c:strCache>
                <c:ptCount val="1"/>
                <c:pt idx="0">
                  <c:v>Proc. % Positive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Comparative_Analysis!$A$4:$A$8</c:f>
              <c:strCache>
                <c:ptCount val="5"/>
                <c:pt idx="0">
                  <c:v>Retailers have diverse supplier bases</c:v>
                </c:pt>
                <c:pt idx="1">
                  <c:v>Rely on networking for new suppliers</c:v>
                </c:pt>
                <c:pt idx="2">
                  <c:v>Financing programs exist for MWBEs</c:v>
                </c:pt>
                <c:pt idx="3">
                  <c:v>Diversity → financial outcomes</c:v>
                </c:pt>
                <c:pt idx="4">
                  <c:v>Diversity → social outcomes</c:v>
                </c:pt>
              </c:strCache>
            </c:strRef>
          </c:cat>
          <c:val>
            <c:numRef>
              <c:f>Comparative_Analysis!$B$4:$B$8</c:f>
              <c:numCache>
                <c:formatCode>0%</c:formatCode>
                <c:ptCount val="5"/>
                <c:pt idx="0">
                  <c:v>0.21</c:v>
                </c:pt>
                <c:pt idx="1">
                  <c:v>0.62</c:v>
                </c:pt>
                <c:pt idx="2">
                  <c:v>0.17</c:v>
                </c:pt>
                <c:pt idx="3">
                  <c:v>0.35</c:v>
                </c:pt>
                <c:pt idx="4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3-4A64-AAAB-0DDCB186373E}"/>
            </c:ext>
          </c:extLst>
        </c:ser>
        <c:ser>
          <c:idx val="1"/>
          <c:order val="1"/>
          <c:tx>
            <c:strRef>
              <c:f>Comparative_Analysis!$C$3</c:f>
              <c:strCache>
                <c:ptCount val="1"/>
                <c:pt idx="0">
                  <c:v>MWBE % Positive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Comparative_Analysis!$A$4:$A$8</c:f>
              <c:strCache>
                <c:ptCount val="5"/>
                <c:pt idx="0">
                  <c:v>Retailers have diverse supplier bases</c:v>
                </c:pt>
                <c:pt idx="1">
                  <c:v>Rely on networking for new suppliers</c:v>
                </c:pt>
                <c:pt idx="2">
                  <c:v>Financing programs exist for MWBEs</c:v>
                </c:pt>
                <c:pt idx="3">
                  <c:v>Diversity → financial outcomes</c:v>
                </c:pt>
                <c:pt idx="4">
                  <c:v>Diversity → social outcomes</c:v>
                </c:pt>
              </c:strCache>
            </c:strRef>
          </c:cat>
          <c:val>
            <c:numRef>
              <c:f>Comparative_Analysis!$C$4:$C$8</c:f>
              <c:numCache>
                <c:formatCode>0%</c:formatCode>
                <c:ptCount val="5"/>
                <c:pt idx="0">
                  <c:v>0.18</c:v>
                </c:pt>
                <c:pt idx="1">
                  <c:v>0.63</c:v>
                </c:pt>
                <c:pt idx="2">
                  <c:v>0.11</c:v>
                </c:pt>
                <c:pt idx="3">
                  <c:v>0.56999999999999995</c:v>
                </c:pt>
                <c:pt idx="4">
                  <c:v>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83-4A64-AAAB-0DDCB186373E}"/>
            </c:ext>
          </c:extLst>
        </c:ser>
        <c:ser>
          <c:idx val="2"/>
          <c:order val="2"/>
          <c:tx>
            <c:strRef>
              <c:f>Comparative_Analysis!$D$3</c:f>
              <c:strCache>
                <c:ptCount val="1"/>
                <c:pt idx="0">
                  <c:v>Gap (MWBE - Proc)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Comparative_Analysis!$A$4:$A$8</c:f>
              <c:strCache>
                <c:ptCount val="5"/>
                <c:pt idx="0">
                  <c:v>Retailers have diverse supplier bases</c:v>
                </c:pt>
                <c:pt idx="1">
                  <c:v>Rely on networking for new suppliers</c:v>
                </c:pt>
                <c:pt idx="2">
                  <c:v>Financing programs exist for MWBEs</c:v>
                </c:pt>
                <c:pt idx="3">
                  <c:v>Diversity → financial outcomes</c:v>
                </c:pt>
                <c:pt idx="4">
                  <c:v>Diversity → social outcomes</c:v>
                </c:pt>
              </c:strCache>
            </c:strRef>
          </c:cat>
          <c:val>
            <c:numRef>
              <c:f>Comparative_Analysis!$D$4:$D$8</c:f>
              <c:numCache>
                <c:formatCode>\+0%;\-0%;0%</c:formatCode>
                <c:ptCount val="5"/>
                <c:pt idx="0">
                  <c:v>-0.03</c:v>
                </c:pt>
                <c:pt idx="1">
                  <c:v>1.0000000000000011E-2</c:v>
                </c:pt>
                <c:pt idx="2">
                  <c:v>-6.0000000000000012E-2</c:v>
                </c:pt>
                <c:pt idx="3">
                  <c:v>0.22</c:v>
                </c:pt>
                <c:pt idx="4">
                  <c:v>0.1000000000000001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83-4A64-AAAB-0DDCB1863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343216"/>
        <c:axId val="308345616"/>
      </c:barChart>
      <c:catAx>
        <c:axId val="30834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345616"/>
        <c:crosses val="autoZero"/>
        <c:auto val="1"/>
        <c:lblAlgn val="ctr"/>
        <c:lblOffset val="100"/>
        <c:noMultiLvlLbl val="0"/>
      </c:catAx>
      <c:valAx>
        <c:axId val="30834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34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528712</xdr:colOff>
      <xdr:row>0</xdr:row>
      <xdr:rowOff>242863</xdr:rowOff>
    </xdr:from>
    <xdr:to>
      <xdr:col>20</xdr:col>
      <xdr:colOff>33607</xdr:colOff>
      <xdr:row>15</xdr:row>
      <xdr:rowOff>127390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082C90-C385-982F-9A40-EDBDEE3E5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10</xdr:row>
      <xdr:rowOff>76200</xdr:rowOff>
    </xdr:from>
    <xdr:to>
      <xdr:col>2</xdr:col>
      <xdr:colOff>739140</xdr:colOff>
      <xdr:row>25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5F79D6-0A62-8621-A17E-1EC1B992D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workbookViewId="0">
      <selection activeCell="F15" sqref="F15"/>
    </sheetView>
  </sheetViews>
  <sheetFormatPr defaultRowHeight="14.4" x14ac:dyDescent="0.3"/>
  <cols>
    <col min="1" max="1" width="38" customWidth="1"/>
    <col min="2" max="2" width="12" customWidth="1"/>
    <col min="3" max="3" width="22" customWidth="1"/>
    <col min="4" max="4" width="14" customWidth="1"/>
    <col min="5" max="5" width="12" customWidth="1"/>
    <col min="6" max="6" width="40" customWidth="1"/>
  </cols>
  <sheetData>
    <row r="1" spans="1:6" ht="30" customHeight="1" x14ac:dyDescent="0.3">
      <c r="A1" s="29" t="s">
        <v>0</v>
      </c>
      <c r="B1" s="30"/>
      <c r="C1" s="30"/>
      <c r="D1" s="30"/>
      <c r="E1" s="30"/>
      <c r="F1" s="30"/>
    </row>
    <row r="3" spans="1: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s="2" t="s">
        <v>7</v>
      </c>
      <c r="B4" s="3">
        <v>2</v>
      </c>
      <c r="C4" s="2" t="s">
        <v>8</v>
      </c>
      <c r="D4" s="4" t="s">
        <v>9</v>
      </c>
      <c r="E4" s="2" t="s">
        <v>10</v>
      </c>
      <c r="F4" s="2" t="s">
        <v>11</v>
      </c>
    </row>
    <row r="5" spans="1:6" x14ac:dyDescent="0.3">
      <c r="A5" s="5" t="s">
        <v>12</v>
      </c>
      <c r="B5" s="6">
        <v>25</v>
      </c>
      <c r="C5" s="5" t="s">
        <v>13</v>
      </c>
      <c r="D5" s="7" t="s">
        <v>14</v>
      </c>
      <c r="E5" s="5" t="s">
        <v>10</v>
      </c>
      <c r="F5" s="5" t="s">
        <v>15</v>
      </c>
    </row>
    <row r="6" spans="1:6" x14ac:dyDescent="0.3">
      <c r="A6" s="2" t="s">
        <v>16</v>
      </c>
      <c r="B6" s="8">
        <v>10</v>
      </c>
      <c r="C6" s="2" t="s">
        <v>17</v>
      </c>
      <c r="D6" s="9" t="s">
        <v>18</v>
      </c>
      <c r="E6" s="2" t="s">
        <v>19</v>
      </c>
      <c r="F6" s="2" t="s">
        <v>20</v>
      </c>
    </row>
    <row r="7" spans="1:6" x14ac:dyDescent="0.3">
      <c r="A7" s="5" t="s">
        <v>21</v>
      </c>
      <c r="B7" s="10">
        <v>0.83</v>
      </c>
      <c r="C7" s="5" t="s">
        <v>22</v>
      </c>
      <c r="D7" s="11" t="s">
        <v>23</v>
      </c>
      <c r="E7" s="5" t="s">
        <v>10</v>
      </c>
      <c r="F7" s="5" t="s">
        <v>24</v>
      </c>
    </row>
    <row r="8" spans="1:6" x14ac:dyDescent="0.3">
      <c r="A8" s="2" t="s">
        <v>25</v>
      </c>
      <c r="B8" s="12">
        <v>0.94</v>
      </c>
      <c r="C8" s="2" t="s">
        <v>26</v>
      </c>
      <c r="D8" s="11" t="s">
        <v>23</v>
      </c>
      <c r="E8" s="2" t="s">
        <v>10</v>
      </c>
      <c r="F8" s="2" t="s">
        <v>27</v>
      </c>
    </row>
    <row r="9" spans="1:6" x14ac:dyDescent="0.3">
      <c r="A9" s="5" t="s">
        <v>28</v>
      </c>
      <c r="B9" s="10">
        <v>0.3</v>
      </c>
      <c r="C9" s="5" t="s">
        <v>29</v>
      </c>
      <c r="D9" s="13" t="s">
        <v>30</v>
      </c>
      <c r="E9" s="5" t="s">
        <v>19</v>
      </c>
      <c r="F9" s="5" t="s">
        <v>31</v>
      </c>
    </row>
    <row r="10" spans="1:6" x14ac:dyDescent="0.3">
      <c r="A10" s="2" t="s">
        <v>32</v>
      </c>
      <c r="B10" s="12">
        <v>0.25</v>
      </c>
      <c r="C10" s="2" t="s">
        <v>33</v>
      </c>
      <c r="D10" s="13" t="s">
        <v>30</v>
      </c>
      <c r="E10" s="2" t="s">
        <v>19</v>
      </c>
      <c r="F10" s="2" t="s">
        <v>34</v>
      </c>
    </row>
    <row r="11" spans="1:6" x14ac:dyDescent="0.3">
      <c r="A11" s="5" t="s">
        <v>35</v>
      </c>
      <c r="B11" s="10">
        <v>0.57999999999999996</v>
      </c>
      <c r="C11" s="5" t="s">
        <v>36</v>
      </c>
      <c r="D11" s="9" t="s">
        <v>37</v>
      </c>
      <c r="E11" s="5" t="s">
        <v>38</v>
      </c>
      <c r="F11" s="5" t="s">
        <v>39</v>
      </c>
    </row>
    <row r="12" spans="1:6" x14ac:dyDescent="0.3">
      <c r="A12" s="2" t="s">
        <v>40</v>
      </c>
      <c r="B12" s="12">
        <v>0.83</v>
      </c>
      <c r="C12" s="2" t="s">
        <v>36</v>
      </c>
      <c r="D12" s="9" t="s">
        <v>37</v>
      </c>
      <c r="E12" s="2" t="s">
        <v>38</v>
      </c>
      <c r="F12" s="2" t="s">
        <v>41</v>
      </c>
    </row>
    <row r="13" spans="1:6" x14ac:dyDescent="0.3">
      <c r="A13" s="5" t="s">
        <v>42</v>
      </c>
      <c r="B13" s="10">
        <v>0.93</v>
      </c>
      <c r="C13" s="5" t="s">
        <v>36</v>
      </c>
      <c r="D13" s="9" t="s">
        <v>37</v>
      </c>
      <c r="E13" s="5" t="s">
        <v>38</v>
      </c>
      <c r="F13" s="5" t="s">
        <v>43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workbookViewId="0">
      <selection activeCell="K7" sqref="K7"/>
    </sheetView>
  </sheetViews>
  <sheetFormatPr defaultRowHeight="14.4" x14ac:dyDescent="0.3"/>
  <cols>
    <col min="1" max="1" width="50" customWidth="1"/>
    <col min="2" max="2" width="14" customWidth="1"/>
    <col min="3" max="5" width="12" customWidth="1"/>
    <col min="6" max="6" width="14" customWidth="1"/>
    <col min="7" max="8" width="16" customWidth="1"/>
  </cols>
  <sheetData>
    <row r="1" spans="1:8" ht="30" customHeight="1" x14ac:dyDescent="0.3">
      <c r="A1" s="29" t="s">
        <v>44</v>
      </c>
      <c r="B1" s="30"/>
      <c r="C1" s="30"/>
      <c r="D1" s="30"/>
      <c r="E1" s="30"/>
      <c r="F1" s="30"/>
      <c r="G1" s="30"/>
      <c r="H1" s="30"/>
    </row>
    <row r="2" spans="1:8" x14ac:dyDescent="0.3">
      <c r="A2" s="31"/>
      <c r="B2" s="30"/>
      <c r="C2" s="30"/>
      <c r="D2" s="30"/>
      <c r="E2" s="30"/>
      <c r="F2" s="30"/>
      <c r="G2" s="30"/>
      <c r="H2" s="30"/>
    </row>
    <row r="4" spans="1:8" ht="26.4" x14ac:dyDescent="0.3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</row>
    <row r="5" spans="1:8" x14ac:dyDescent="0.3">
      <c r="A5" s="2" t="s">
        <v>53</v>
      </c>
      <c r="B5" s="14">
        <v>0.24</v>
      </c>
      <c r="C5" s="14">
        <v>0.4</v>
      </c>
      <c r="D5" s="14">
        <v>0.06</v>
      </c>
      <c r="E5" s="14">
        <v>0.12</v>
      </c>
      <c r="F5" s="14">
        <v>0.18</v>
      </c>
      <c r="G5" s="15">
        <v>0.3</v>
      </c>
      <c r="H5" s="16">
        <v>0.64</v>
      </c>
    </row>
    <row r="6" spans="1:8" ht="26.4" x14ac:dyDescent="0.3">
      <c r="A6" s="5" t="s">
        <v>54</v>
      </c>
      <c r="B6" s="17">
        <v>0.02</v>
      </c>
      <c r="C6" s="17">
        <v>0.14000000000000001</v>
      </c>
      <c r="D6" s="17">
        <v>0.2</v>
      </c>
      <c r="E6" s="17">
        <v>0.3</v>
      </c>
      <c r="F6" s="17">
        <v>0.34</v>
      </c>
      <c r="G6" s="18">
        <v>0.64</v>
      </c>
      <c r="H6" s="18">
        <v>0.16</v>
      </c>
    </row>
    <row r="7" spans="1:8" x14ac:dyDescent="0.3">
      <c r="A7" s="2" t="s">
        <v>55</v>
      </c>
      <c r="B7" s="14">
        <v>0.2</v>
      </c>
      <c r="C7" s="14">
        <v>0.35</v>
      </c>
      <c r="D7" s="14">
        <v>0.2</v>
      </c>
      <c r="E7" s="14">
        <v>0.16</v>
      </c>
      <c r="F7" s="14">
        <v>0.09</v>
      </c>
      <c r="G7" s="15">
        <v>0.25</v>
      </c>
      <c r="H7" s="16">
        <v>0.55000000000000004</v>
      </c>
    </row>
    <row r="8" spans="1:8" x14ac:dyDescent="0.3">
      <c r="A8" s="5" t="s">
        <v>56</v>
      </c>
      <c r="B8" s="17">
        <v>7.0000000000000007E-2</v>
      </c>
      <c r="C8" s="17">
        <v>0.42</v>
      </c>
      <c r="D8" s="17">
        <v>0.3</v>
      </c>
      <c r="E8" s="17">
        <v>0.15</v>
      </c>
      <c r="F8" s="17">
        <v>0.06</v>
      </c>
      <c r="G8" s="15">
        <v>0.21</v>
      </c>
      <c r="H8" s="15">
        <v>0.49</v>
      </c>
    </row>
    <row r="9" spans="1:8" x14ac:dyDescent="0.3">
      <c r="A9" s="2" t="s">
        <v>57</v>
      </c>
      <c r="B9" s="14">
        <v>0.09</v>
      </c>
      <c r="C9" s="14">
        <v>0.15</v>
      </c>
      <c r="D9" s="14">
        <v>0.14000000000000001</v>
      </c>
      <c r="E9" s="14">
        <v>0.23</v>
      </c>
      <c r="F9" s="14">
        <v>0.39</v>
      </c>
      <c r="G9" s="18">
        <v>0.62</v>
      </c>
      <c r="H9" s="18">
        <v>0.24</v>
      </c>
    </row>
    <row r="10" spans="1:8" ht="26.4" x14ac:dyDescent="0.3">
      <c r="A10" s="5" t="s">
        <v>58</v>
      </c>
      <c r="B10" s="17">
        <v>0.19</v>
      </c>
      <c r="C10" s="17">
        <v>0.31</v>
      </c>
      <c r="D10" s="17">
        <v>0.03</v>
      </c>
      <c r="E10" s="17">
        <v>0.11</v>
      </c>
      <c r="F10" s="17">
        <v>0.36</v>
      </c>
      <c r="G10" s="18">
        <v>0.47</v>
      </c>
      <c r="H10" s="16">
        <v>0.5</v>
      </c>
    </row>
    <row r="11" spans="1:8" x14ac:dyDescent="0.3">
      <c r="A11" s="2" t="s">
        <v>59</v>
      </c>
      <c r="B11" s="14">
        <v>0.54</v>
      </c>
      <c r="C11" s="14">
        <v>0.26</v>
      </c>
      <c r="D11" s="14">
        <v>0.03</v>
      </c>
      <c r="E11" s="14">
        <v>0.1</v>
      </c>
      <c r="F11" s="14">
        <v>7.0000000000000007E-2</v>
      </c>
      <c r="G11" s="16">
        <v>0.17</v>
      </c>
      <c r="H11" s="16">
        <v>0.8</v>
      </c>
    </row>
    <row r="12" spans="1:8" ht="26.4" x14ac:dyDescent="0.3">
      <c r="A12" s="5" t="s">
        <v>60</v>
      </c>
      <c r="B12" s="17">
        <v>0.05</v>
      </c>
      <c r="C12" s="17">
        <v>0.16</v>
      </c>
      <c r="D12" s="17">
        <v>0.21</v>
      </c>
      <c r="E12" s="17">
        <v>0.37</v>
      </c>
      <c r="F12" s="17">
        <v>0.21</v>
      </c>
      <c r="G12" s="18">
        <v>0.57999999999999996</v>
      </c>
      <c r="H12" s="18">
        <v>0.21</v>
      </c>
    </row>
    <row r="13" spans="1:8" x14ac:dyDescent="0.3">
      <c r="A13" s="2" t="s">
        <v>61</v>
      </c>
      <c r="B13" s="14">
        <v>0.17</v>
      </c>
      <c r="C13" s="14">
        <v>0.27</v>
      </c>
      <c r="D13" s="14">
        <v>0.28000000000000003</v>
      </c>
      <c r="E13" s="14">
        <v>0.15</v>
      </c>
      <c r="F13" s="14">
        <v>0.13</v>
      </c>
      <c r="G13" s="15">
        <v>0.28000000000000003</v>
      </c>
      <c r="H13" s="15">
        <v>0.44000000000000011</v>
      </c>
    </row>
    <row r="14" spans="1:8" ht="26.4" x14ac:dyDescent="0.3">
      <c r="A14" s="5" t="s">
        <v>62</v>
      </c>
      <c r="B14" s="17">
        <v>0.15</v>
      </c>
      <c r="C14" s="17">
        <v>0.28000000000000003</v>
      </c>
      <c r="D14" s="17">
        <v>0.22</v>
      </c>
      <c r="E14" s="17">
        <v>0.24</v>
      </c>
      <c r="F14" s="17">
        <v>0.11</v>
      </c>
      <c r="G14" s="15">
        <v>0.35</v>
      </c>
      <c r="H14" s="15">
        <v>0.43</v>
      </c>
    </row>
    <row r="15" spans="1:8" x14ac:dyDescent="0.3">
      <c r="A15" s="2" t="s">
        <v>63</v>
      </c>
      <c r="B15" s="14">
        <v>0.02</v>
      </c>
      <c r="C15" s="14">
        <v>0.09</v>
      </c>
      <c r="D15" s="14">
        <v>0.06</v>
      </c>
      <c r="E15" s="14">
        <v>0.41</v>
      </c>
      <c r="F15" s="14">
        <v>0.42</v>
      </c>
      <c r="G15" s="18">
        <v>0.83</v>
      </c>
      <c r="H15" s="18">
        <v>0.11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showGridLines="0" zoomScale="78" workbookViewId="0">
      <selection activeCell="H25" sqref="H25"/>
    </sheetView>
  </sheetViews>
  <sheetFormatPr defaultRowHeight="14.4" x14ac:dyDescent="0.3"/>
  <cols>
    <col min="1" max="1" width="50" customWidth="1"/>
    <col min="2" max="2" width="14" customWidth="1"/>
    <col min="3" max="5" width="12" customWidth="1"/>
    <col min="6" max="6" width="14" customWidth="1"/>
    <col min="7" max="8" width="16" customWidth="1"/>
  </cols>
  <sheetData>
    <row r="1" spans="1:8" ht="30" customHeight="1" x14ac:dyDescent="0.3">
      <c r="A1" s="29" t="s">
        <v>64</v>
      </c>
      <c r="B1" s="30"/>
      <c r="C1" s="30"/>
      <c r="D1" s="30"/>
      <c r="E1" s="30"/>
      <c r="F1" s="30"/>
      <c r="G1" s="30"/>
      <c r="H1" s="30"/>
    </row>
    <row r="2" spans="1:8" x14ac:dyDescent="0.3">
      <c r="A2" s="31"/>
      <c r="B2" s="30"/>
      <c r="C2" s="30"/>
      <c r="D2" s="30"/>
      <c r="E2" s="30"/>
      <c r="F2" s="30"/>
      <c r="G2" s="30"/>
      <c r="H2" s="30"/>
    </row>
    <row r="4" spans="1:8" ht="26.4" x14ac:dyDescent="0.3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</row>
    <row r="5" spans="1:8" ht="26.4" x14ac:dyDescent="0.3">
      <c r="A5" s="2" t="s">
        <v>65</v>
      </c>
      <c r="B5" s="14">
        <v>0.23</v>
      </c>
      <c r="C5" s="14">
        <v>0.32</v>
      </c>
      <c r="D5" s="14">
        <v>0.27</v>
      </c>
      <c r="E5" s="14">
        <v>0.12</v>
      </c>
      <c r="F5" s="14">
        <v>0.06</v>
      </c>
      <c r="G5" s="16">
        <v>0.18</v>
      </c>
      <c r="H5" s="16">
        <v>0.55000000000000004</v>
      </c>
    </row>
    <row r="6" spans="1:8" x14ac:dyDescent="0.3">
      <c r="A6" s="5" t="s">
        <v>66</v>
      </c>
      <c r="B6" s="17">
        <v>7.0000000000000007E-2</v>
      </c>
      <c r="C6" s="17">
        <v>0.18</v>
      </c>
      <c r="D6" s="17">
        <v>0.12</v>
      </c>
      <c r="E6" s="17">
        <v>0.28000000000000003</v>
      </c>
      <c r="F6" s="17">
        <v>0.35</v>
      </c>
      <c r="G6" s="18">
        <v>0.63</v>
      </c>
      <c r="H6" s="18">
        <v>0.25</v>
      </c>
    </row>
    <row r="7" spans="1:8" x14ac:dyDescent="0.3">
      <c r="A7" s="2" t="s">
        <v>67</v>
      </c>
      <c r="B7" s="14">
        <v>0.18</v>
      </c>
      <c r="C7" s="14">
        <v>0.23</v>
      </c>
      <c r="D7" s="14">
        <v>0.22</v>
      </c>
      <c r="E7" s="14">
        <v>0.24</v>
      </c>
      <c r="F7" s="14">
        <v>0.13</v>
      </c>
      <c r="G7" s="15">
        <v>0.37</v>
      </c>
      <c r="H7" s="15">
        <v>0.41</v>
      </c>
    </row>
    <row r="8" spans="1:8" ht="26.4" x14ac:dyDescent="0.3">
      <c r="A8" s="5" t="s">
        <v>68</v>
      </c>
      <c r="B8" s="17">
        <v>0.33</v>
      </c>
      <c r="C8" s="17">
        <v>0.19</v>
      </c>
      <c r="D8" s="17">
        <v>0.1</v>
      </c>
      <c r="E8" s="17">
        <v>0.19</v>
      </c>
      <c r="F8" s="17">
        <v>0.19</v>
      </c>
      <c r="G8" s="15">
        <v>0.38</v>
      </c>
      <c r="H8" s="16">
        <v>0.52</v>
      </c>
    </row>
    <row r="9" spans="1:8" x14ac:dyDescent="0.3">
      <c r="A9" s="2" t="s">
        <v>69</v>
      </c>
      <c r="B9" s="14">
        <v>0.32</v>
      </c>
      <c r="C9" s="14">
        <v>0.31</v>
      </c>
      <c r="D9" s="14">
        <v>0.05</v>
      </c>
      <c r="E9" s="14">
        <v>0.21</v>
      </c>
      <c r="F9" s="14">
        <v>0.11</v>
      </c>
      <c r="G9" s="15">
        <v>0.32</v>
      </c>
      <c r="H9" s="16">
        <v>0.63</v>
      </c>
    </row>
    <row r="10" spans="1:8" ht="26.4" x14ac:dyDescent="0.3">
      <c r="A10" s="5" t="s">
        <v>70</v>
      </c>
      <c r="B10" s="17">
        <v>0.64</v>
      </c>
      <c r="C10" s="17">
        <v>0.19</v>
      </c>
      <c r="D10" s="17">
        <v>0.06</v>
      </c>
      <c r="E10" s="17">
        <v>0.08</v>
      </c>
      <c r="F10" s="17">
        <v>0.03</v>
      </c>
      <c r="G10" s="16">
        <v>0.11</v>
      </c>
      <c r="H10" s="16">
        <v>0.83000000000000007</v>
      </c>
    </row>
    <row r="11" spans="1:8" x14ac:dyDescent="0.3">
      <c r="A11" s="2" t="s">
        <v>61</v>
      </c>
      <c r="B11" s="14">
        <v>7.0000000000000007E-2</v>
      </c>
      <c r="C11" s="14">
        <v>0.19</v>
      </c>
      <c r="D11" s="14">
        <v>0.35</v>
      </c>
      <c r="E11" s="14">
        <v>0.21</v>
      </c>
      <c r="F11" s="14">
        <v>0.18</v>
      </c>
      <c r="G11" s="15">
        <v>0.39</v>
      </c>
      <c r="H11" s="18">
        <v>0.26</v>
      </c>
    </row>
    <row r="12" spans="1:8" ht="26.4" x14ac:dyDescent="0.3">
      <c r="A12" s="5" t="s">
        <v>62</v>
      </c>
      <c r="B12" s="17">
        <v>0.05</v>
      </c>
      <c r="C12" s="17">
        <v>0.14000000000000001</v>
      </c>
      <c r="D12" s="17">
        <v>0.24</v>
      </c>
      <c r="E12" s="17">
        <v>0.36</v>
      </c>
      <c r="F12" s="17">
        <v>0.21</v>
      </c>
      <c r="G12" s="18">
        <v>0.56999999999999995</v>
      </c>
      <c r="H12" s="18">
        <v>0.19</v>
      </c>
    </row>
    <row r="13" spans="1:8" x14ac:dyDescent="0.3">
      <c r="A13" s="2" t="s">
        <v>63</v>
      </c>
      <c r="B13" s="14">
        <v>0</v>
      </c>
      <c r="C13" s="14">
        <v>0</v>
      </c>
      <c r="D13" s="14">
        <v>7.0000000000000007E-2</v>
      </c>
      <c r="E13" s="14">
        <v>0.12</v>
      </c>
      <c r="F13" s="14">
        <v>0.81</v>
      </c>
      <c r="G13" s="18">
        <v>0.93</v>
      </c>
      <c r="H13" s="18">
        <v>0</v>
      </c>
    </row>
    <row r="14" spans="1:8" ht="26.4" x14ac:dyDescent="0.3">
      <c r="A14" s="5" t="s">
        <v>71</v>
      </c>
      <c r="B14" s="17">
        <v>0</v>
      </c>
      <c r="C14" s="17">
        <v>0.04</v>
      </c>
      <c r="D14" s="17">
        <v>0.02</v>
      </c>
      <c r="E14" s="17">
        <v>0.26</v>
      </c>
      <c r="F14" s="17">
        <v>0.68</v>
      </c>
      <c r="G14" s="18">
        <v>0.94000000000000006</v>
      </c>
      <c r="H14" s="18">
        <v>0.04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showGridLines="0" workbookViewId="0">
      <selection activeCell="D14" sqref="D14"/>
    </sheetView>
  </sheetViews>
  <sheetFormatPr defaultRowHeight="14.4" x14ac:dyDescent="0.3"/>
  <cols>
    <col min="1" max="1" width="44" customWidth="1"/>
    <col min="2" max="4" width="18" customWidth="1"/>
    <col min="5" max="5" width="40" customWidth="1"/>
    <col min="6" max="6" width="36" customWidth="1"/>
  </cols>
  <sheetData>
    <row r="1" spans="1:6" ht="30" customHeight="1" x14ac:dyDescent="0.3">
      <c r="A1" s="29" t="s">
        <v>72</v>
      </c>
      <c r="B1" s="30"/>
      <c r="C1" s="30"/>
      <c r="D1" s="30"/>
      <c r="E1" s="30"/>
      <c r="F1" s="30"/>
    </row>
    <row r="3" spans="1:6" ht="26.4" x14ac:dyDescent="0.3">
      <c r="A3" s="1" t="s">
        <v>73</v>
      </c>
      <c r="B3" s="1" t="s">
        <v>74</v>
      </c>
      <c r="C3" s="1" t="s">
        <v>75</v>
      </c>
      <c r="D3" s="1" t="s">
        <v>76</v>
      </c>
      <c r="E3" s="1" t="s">
        <v>77</v>
      </c>
      <c r="F3" s="1" t="s">
        <v>78</v>
      </c>
    </row>
    <row r="4" spans="1:6" x14ac:dyDescent="0.3">
      <c r="A4" s="2" t="s">
        <v>79</v>
      </c>
      <c r="B4" s="14">
        <v>0.21</v>
      </c>
      <c r="C4" s="14">
        <v>0.18</v>
      </c>
      <c r="D4" s="19">
        <v>-0.03</v>
      </c>
      <c r="E4" s="2" t="s">
        <v>80</v>
      </c>
      <c r="F4" s="2" t="s">
        <v>81</v>
      </c>
    </row>
    <row r="5" spans="1:6" x14ac:dyDescent="0.3">
      <c r="A5" s="5" t="s">
        <v>82</v>
      </c>
      <c r="B5" s="17">
        <v>0.62</v>
      </c>
      <c r="C5" s="17">
        <v>0.63</v>
      </c>
      <c r="D5" s="20">
        <v>1.0000000000000011E-2</v>
      </c>
      <c r="E5" s="5" t="s">
        <v>83</v>
      </c>
      <c r="F5" s="5" t="s">
        <v>84</v>
      </c>
    </row>
    <row r="6" spans="1:6" x14ac:dyDescent="0.3">
      <c r="A6" s="2" t="s">
        <v>85</v>
      </c>
      <c r="B6" s="14">
        <v>0.17</v>
      </c>
      <c r="C6" s="14">
        <v>0.11</v>
      </c>
      <c r="D6" s="19">
        <v>-6.0000000000000012E-2</v>
      </c>
      <c r="E6" s="2" t="s">
        <v>86</v>
      </c>
      <c r="F6" s="2" t="s">
        <v>87</v>
      </c>
    </row>
    <row r="7" spans="1:6" x14ac:dyDescent="0.3">
      <c r="A7" s="5" t="s">
        <v>88</v>
      </c>
      <c r="B7" s="17">
        <v>0.35</v>
      </c>
      <c r="C7" s="17">
        <v>0.56999999999999995</v>
      </c>
      <c r="D7" s="21">
        <v>0.22</v>
      </c>
      <c r="E7" s="5" t="s">
        <v>89</v>
      </c>
      <c r="F7" s="5" t="s">
        <v>90</v>
      </c>
    </row>
    <row r="8" spans="1:6" x14ac:dyDescent="0.3">
      <c r="A8" s="2" t="s">
        <v>91</v>
      </c>
      <c r="B8" s="14">
        <v>0.83</v>
      </c>
      <c r="C8" s="14">
        <v>0.93</v>
      </c>
      <c r="D8" s="21">
        <v>0.1000000000000001</v>
      </c>
      <c r="E8" s="2" t="s">
        <v>92</v>
      </c>
      <c r="F8" s="2" t="s">
        <v>93</v>
      </c>
    </row>
  </sheetData>
  <mergeCells count="1">
    <mergeCell ref="A1:F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showGridLines="0" workbookViewId="0">
      <selection activeCell="A3" sqref="A3:E10"/>
    </sheetView>
  </sheetViews>
  <sheetFormatPr defaultRowHeight="14.4" x14ac:dyDescent="0.3"/>
  <cols>
    <col min="1" max="1" width="30" customWidth="1"/>
    <col min="2" max="2" width="14" customWidth="1"/>
    <col min="3" max="3" width="20" customWidth="1"/>
    <col min="4" max="4" width="12" customWidth="1"/>
    <col min="5" max="5" width="18" customWidth="1"/>
    <col min="6" max="6" width="34" customWidth="1"/>
    <col min="7" max="7" width="42" customWidth="1"/>
  </cols>
  <sheetData>
    <row r="1" spans="1:7" ht="30" customHeight="1" x14ac:dyDescent="0.3">
      <c r="A1" s="29" t="s">
        <v>94</v>
      </c>
      <c r="B1" s="30"/>
      <c r="C1" s="30"/>
      <c r="D1" s="30"/>
      <c r="E1" s="30"/>
      <c r="F1" s="30"/>
      <c r="G1" s="30"/>
    </row>
    <row r="3" spans="1:7" x14ac:dyDescent="0.3">
      <c r="A3" s="1" t="s">
        <v>95</v>
      </c>
      <c r="B3" s="1" t="s">
        <v>96</v>
      </c>
      <c r="C3" s="1" t="s">
        <v>97</v>
      </c>
      <c r="D3" s="1" t="s">
        <v>98</v>
      </c>
      <c r="E3" s="1" t="s">
        <v>99</v>
      </c>
      <c r="F3" s="1" t="s">
        <v>100</v>
      </c>
      <c r="G3" s="1" t="s">
        <v>101</v>
      </c>
    </row>
    <row r="4" spans="1:7" ht="26.4" x14ac:dyDescent="0.3">
      <c r="A4" s="2" t="s">
        <v>102</v>
      </c>
      <c r="B4" s="2" t="s">
        <v>103</v>
      </c>
      <c r="C4" s="2">
        <v>5</v>
      </c>
      <c r="D4" s="11" t="s">
        <v>10</v>
      </c>
      <c r="E4" s="2" t="s">
        <v>104</v>
      </c>
      <c r="F4" s="2" t="s">
        <v>105</v>
      </c>
      <c r="G4" s="2" t="s">
        <v>106</v>
      </c>
    </row>
    <row r="5" spans="1:7" ht="26.4" x14ac:dyDescent="0.3">
      <c r="A5" s="5" t="s">
        <v>107</v>
      </c>
      <c r="B5" s="5" t="s">
        <v>103</v>
      </c>
      <c r="C5" s="5">
        <v>5</v>
      </c>
      <c r="D5" s="11" t="s">
        <v>10</v>
      </c>
      <c r="E5" s="5" t="s">
        <v>104</v>
      </c>
      <c r="F5" s="5" t="s">
        <v>108</v>
      </c>
      <c r="G5" s="5" t="s">
        <v>109</v>
      </c>
    </row>
    <row r="6" spans="1:7" ht="26.4" x14ac:dyDescent="0.3">
      <c r="A6" s="2" t="s">
        <v>110</v>
      </c>
      <c r="B6" s="2" t="s">
        <v>111</v>
      </c>
      <c r="C6" s="2">
        <v>4</v>
      </c>
      <c r="D6" s="13" t="s">
        <v>19</v>
      </c>
      <c r="E6" s="2" t="s">
        <v>112</v>
      </c>
      <c r="F6" s="2" t="s">
        <v>113</v>
      </c>
      <c r="G6" s="2" t="s">
        <v>114</v>
      </c>
    </row>
    <row r="7" spans="1:7" ht="26.4" x14ac:dyDescent="0.3">
      <c r="A7" s="5" t="s">
        <v>115</v>
      </c>
      <c r="B7" s="5" t="s">
        <v>116</v>
      </c>
      <c r="C7" s="5">
        <v>3</v>
      </c>
      <c r="D7" s="13" t="s">
        <v>19</v>
      </c>
      <c r="E7" s="5" t="s">
        <v>104</v>
      </c>
      <c r="F7" s="5" t="s">
        <v>117</v>
      </c>
      <c r="G7" s="5" t="s">
        <v>118</v>
      </c>
    </row>
    <row r="8" spans="1:7" x14ac:dyDescent="0.3">
      <c r="A8" s="2" t="s">
        <v>119</v>
      </c>
      <c r="B8" s="2" t="s">
        <v>120</v>
      </c>
      <c r="C8" s="2">
        <v>3</v>
      </c>
      <c r="D8" s="13" t="s">
        <v>19</v>
      </c>
      <c r="E8" s="2" t="s">
        <v>121</v>
      </c>
      <c r="F8" s="2" t="s">
        <v>122</v>
      </c>
      <c r="G8" s="2" t="s">
        <v>123</v>
      </c>
    </row>
    <row r="9" spans="1:7" x14ac:dyDescent="0.3">
      <c r="A9" s="5" t="s">
        <v>124</v>
      </c>
      <c r="B9" s="5" t="s">
        <v>111</v>
      </c>
      <c r="C9" s="5">
        <v>1</v>
      </c>
      <c r="D9" s="4" t="s">
        <v>38</v>
      </c>
      <c r="E9" s="5" t="s">
        <v>104</v>
      </c>
      <c r="F9" s="5" t="s">
        <v>125</v>
      </c>
      <c r="G9" s="5" t="s">
        <v>126</v>
      </c>
    </row>
    <row r="10" spans="1:7" ht="26.4" x14ac:dyDescent="0.3">
      <c r="A10" s="2" t="s">
        <v>127</v>
      </c>
      <c r="B10" s="2" t="s">
        <v>116</v>
      </c>
      <c r="C10" s="2">
        <v>2</v>
      </c>
      <c r="D10" s="4" t="s">
        <v>38</v>
      </c>
      <c r="E10" s="2" t="s">
        <v>121</v>
      </c>
      <c r="F10" s="2" t="s">
        <v>128</v>
      </c>
      <c r="G10" s="2" t="s">
        <v>129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3"/>
  <sheetViews>
    <sheetView showGridLines="0" workbookViewId="0">
      <selection activeCell="G24" sqref="G24"/>
    </sheetView>
  </sheetViews>
  <sheetFormatPr defaultRowHeight="14.4" x14ac:dyDescent="0.3"/>
  <cols>
    <col min="1" max="1" width="20" customWidth="1"/>
    <col min="2" max="2" width="18" customWidth="1"/>
    <col min="3" max="3" width="34" customWidth="1"/>
    <col min="4" max="13" width="6" customWidth="1"/>
  </cols>
  <sheetData>
    <row r="1" spans="1:13" ht="30" customHeight="1" x14ac:dyDescent="0.3">
      <c r="A1" s="29" t="s">
        <v>130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x14ac:dyDescent="0.3">
      <c r="A3" s="1" t="s">
        <v>131</v>
      </c>
      <c r="B3" s="1" t="s">
        <v>132</v>
      </c>
      <c r="C3" s="1" t="s">
        <v>133</v>
      </c>
      <c r="D3" s="1" t="s">
        <v>134</v>
      </c>
      <c r="E3" s="1" t="s">
        <v>135</v>
      </c>
      <c r="F3" s="1" t="s">
        <v>136</v>
      </c>
      <c r="G3" s="1" t="s">
        <v>137</v>
      </c>
      <c r="H3" s="1" t="s">
        <v>138</v>
      </c>
      <c r="I3" s="1" t="s">
        <v>139</v>
      </c>
      <c r="J3" s="1" t="s">
        <v>140</v>
      </c>
      <c r="K3" s="1" t="s">
        <v>141</v>
      </c>
      <c r="L3" s="1" t="s">
        <v>142</v>
      </c>
      <c r="M3" s="1" t="s">
        <v>143</v>
      </c>
    </row>
    <row r="4" spans="1:13" x14ac:dyDescent="0.3">
      <c r="A4" s="2" t="s">
        <v>144</v>
      </c>
      <c r="B4" s="2" t="s">
        <v>145</v>
      </c>
      <c r="C4" s="2" t="s">
        <v>146</v>
      </c>
      <c r="D4" s="22" t="s">
        <v>147</v>
      </c>
      <c r="E4" s="22" t="s">
        <v>147</v>
      </c>
      <c r="F4" s="23"/>
      <c r="G4" s="23"/>
      <c r="H4" s="23"/>
      <c r="I4" s="23"/>
      <c r="J4" s="23"/>
      <c r="K4" s="23"/>
      <c r="L4" s="23"/>
      <c r="M4" s="23"/>
    </row>
    <row r="5" spans="1:13" x14ac:dyDescent="0.3">
      <c r="A5" s="5" t="s">
        <v>144</v>
      </c>
      <c r="B5" s="5" t="s">
        <v>145</v>
      </c>
      <c r="C5" s="5" t="s">
        <v>148</v>
      </c>
      <c r="D5" s="22" t="s">
        <v>147</v>
      </c>
      <c r="E5" s="22" t="s">
        <v>147</v>
      </c>
      <c r="F5" s="22" t="s">
        <v>147</v>
      </c>
      <c r="G5" s="24"/>
      <c r="H5" s="24"/>
      <c r="I5" s="24"/>
      <c r="J5" s="24"/>
      <c r="K5" s="24"/>
      <c r="L5" s="24"/>
      <c r="M5" s="24"/>
    </row>
    <row r="6" spans="1:13" x14ac:dyDescent="0.3">
      <c r="A6" s="2" t="s">
        <v>144</v>
      </c>
      <c r="B6" s="2" t="s">
        <v>145</v>
      </c>
      <c r="C6" s="2" t="s">
        <v>149</v>
      </c>
      <c r="D6" s="23"/>
      <c r="E6" s="22" t="s">
        <v>147</v>
      </c>
      <c r="F6" s="22" t="s">
        <v>147</v>
      </c>
      <c r="G6" s="22" t="s">
        <v>147</v>
      </c>
      <c r="H6" s="23"/>
      <c r="I6" s="23"/>
      <c r="J6" s="23"/>
      <c r="K6" s="23"/>
      <c r="L6" s="23"/>
      <c r="M6" s="23"/>
    </row>
    <row r="7" spans="1:13" x14ac:dyDescent="0.3">
      <c r="A7" s="5" t="s">
        <v>144</v>
      </c>
      <c r="B7" s="5" t="s">
        <v>150</v>
      </c>
      <c r="C7" s="5" t="s">
        <v>151</v>
      </c>
      <c r="D7" s="22" t="s">
        <v>147</v>
      </c>
      <c r="E7" s="22" t="s">
        <v>147</v>
      </c>
      <c r="F7" s="22" t="s">
        <v>147</v>
      </c>
      <c r="G7" s="22" t="s">
        <v>147</v>
      </c>
      <c r="H7" s="24"/>
      <c r="I7" s="24"/>
      <c r="J7" s="24"/>
      <c r="K7" s="24"/>
      <c r="L7" s="24"/>
      <c r="M7" s="24"/>
    </row>
    <row r="8" spans="1:13" x14ac:dyDescent="0.3">
      <c r="A8" s="2" t="s">
        <v>144</v>
      </c>
      <c r="B8" s="2" t="s">
        <v>150</v>
      </c>
      <c r="C8" s="2" t="s">
        <v>152</v>
      </c>
      <c r="D8" s="23"/>
      <c r="E8" s="22" t="s">
        <v>147</v>
      </c>
      <c r="F8" s="22" t="s">
        <v>147</v>
      </c>
      <c r="G8" s="22" t="s">
        <v>147</v>
      </c>
      <c r="H8" s="23"/>
      <c r="I8" s="23"/>
      <c r="J8" s="23"/>
      <c r="K8" s="23"/>
      <c r="L8" s="23"/>
      <c r="M8" s="23"/>
    </row>
    <row r="9" spans="1:13" x14ac:dyDescent="0.3">
      <c r="A9" s="5" t="s">
        <v>144</v>
      </c>
      <c r="B9" s="5" t="s">
        <v>153</v>
      </c>
      <c r="C9" s="5" t="s">
        <v>154</v>
      </c>
      <c r="D9" s="24"/>
      <c r="E9" s="24"/>
      <c r="F9" s="24"/>
      <c r="G9" s="24"/>
      <c r="H9" s="22" t="s">
        <v>147</v>
      </c>
      <c r="I9" s="22" t="s">
        <v>147</v>
      </c>
      <c r="J9" s="22" t="s">
        <v>147</v>
      </c>
      <c r="K9" s="24"/>
      <c r="L9" s="24"/>
      <c r="M9" s="24"/>
    </row>
    <row r="10" spans="1:13" x14ac:dyDescent="0.3">
      <c r="A10" s="2" t="s">
        <v>144</v>
      </c>
      <c r="B10" s="2" t="s">
        <v>153</v>
      </c>
      <c r="C10" s="2" t="s">
        <v>155</v>
      </c>
      <c r="D10" s="23"/>
      <c r="E10" s="23"/>
      <c r="F10" s="23"/>
      <c r="G10" s="23"/>
      <c r="H10" s="23"/>
      <c r="I10" s="22" t="s">
        <v>147</v>
      </c>
      <c r="J10" s="22" t="s">
        <v>147</v>
      </c>
      <c r="K10" s="23"/>
      <c r="L10" s="23"/>
      <c r="M10" s="23"/>
    </row>
    <row r="11" spans="1:13" x14ac:dyDescent="0.3">
      <c r="A11" s="5" t="s">
        <v>144</v>
      </c>
      <c r="B11" s="5" t="s">
        <v>153</v>
      </c>
      <c r="C11" s="5" t="s">
        <v>156</v>
      </c>
      <c r="D11" s="24"/>
      <c r="E11" s="24"/>
      <c r="F11" s="24"/>
      <c r="G11" s="24"/>
      <c r="H11" s="24"/>
      <c r="I11" s="24"/>
      <c r="J11" s="22" t="s">
        <v>147</v>
      </c>
      <c r="K11" s="22" t="s">
        <v>147</v>
      </c>
      <c r="L11" s="24"/>
      <c r="M11" s="24"/>
    </row>
    <row r="12" spans="1:13" x14ac:dyDescent="0.3">
      <c r="A12" s="2" t="s">
        <v>144</v>
      </c>
      <c r="B12" s="2" t="s">
        <v>157</v>
      </c>
      <c r="C12" s="2" t="s">
        <v>158</v>
      </c>
      <c r="D12" s="23"/>
      <c r="E12" s="23"/>
      <c r="F12" s="23"/>
      <c r="G12" s="23"/>
      <c r="H12" s="23"/>
      <c r="I12" s="23"/>
      <c r="J12" s="23"/>
      <c r="K12" s="22" t="s">
        <v>147</v>
      </c>
      <c r="L12" s="22" t="s">
        <v>147</v>
      </c>
      <c r="M12" s="23"/>
    </row>
    <row r="13" spans="1:13" x14ac:dyDescent="0.3">
      <c r="A13" s="5" t="s">
        <v>144</v>
      </c>
      <c r="B13" s="5" t="s">
        <v>157</v>
      </c>
      <c r="C13" s="5" t="s">
        <v>159</v>
      </c>
      <c r="D13" s="24"/>
      <c r="E13" s="24"/>
      <c r="F13" s="24"/>
      <c r="G13" s="24"/>
      <c r="H13" s="24"/>
      <c r="I13" s="24"/>
      <c r="J13" s="24"/>
      <c r="K13" s="22" t="s">
        <v>147</v>
      </c>
      <c r="L13" s="22" t="s">
        <v>147</v>
      </c>
      <c r="M13" s="22" t="s">
        <v>147</v>
      </c>
    </row>
    <row r="14" spans="1:13" x14ac:dyDescent="0.3">
      <c r="A14" s="2" t="s">
        <v>160</v>
      </c>
      <c r="B14" s="2" t="s">
        <v>145</v>
      </c>
      <c r="C14" s="2" t="s">
        <v>161</v>
      </c>
      <c r="D14" s="25" t="s">
        <v>147</v>
      </c>
      <c r="E14" s="23"/>
      <c r="F14" s="23"/>
      <c r="G14" s="23"/>
      <c r="H14" s="23"/>
      <c r="I14" s="23"/>
      <c r="J14" s="23"/>
      <c r="K14" s="23"/>
      <c r="L14" s="23"/>
      <c r="M14" s="23"/>
    </row>
    <row r="15" spans="1:13" x14ac:dyDescent="0.3">
      <c r="A15" s="5" t="s">
        <v>160</v>
      </c>
      <c r="B15" s="5" t="s">
        <v>162</v>
      </c>
      <c r="C15" s="5" t="s">
        <v>163</v>
      </c>
      <c r="D15" s="24"/>
      <c r="E15" s="25" t="s">
        <v>147</v>
      </c>
      <c r="F15" s="25" t="s">
        <v>147</v>
      </c>
      <c r="G15" s="24"/>
      <c r="H15" s="24"/>
      <c r="I15" s="24"/>
      <c r="J15" s="24"/>
      <c r="K15" s="24"/>
      <c r="L15" s="24"/>
      <c r="M15" s="24"/>
    </row>
    <row r="16" spans="1:13" x14ac:dyDescent="0.3">
      <c r="A16" s="2" t="s">
        <v>160</v>
      </c>
      <c r="B16" s="2" t="s">
        <v>162</v>
      </c>
      <c r="C16" s="2" t="s">
        <v>164</v>
      </c>
      <c r="D16" s="23"/>
      <c r="E16" s="25" t="s">
        <v>147</v>
      </c>
      <c r="F16" s="25" t="s">
        <v>147</v>
      </c>
      <c r="G16" s="23"/>
      <c r="H16" s="23"/>
      <c r="I16" s="23"/>
      <c r="J16" s="23"/>
      <c r="K16" s="23"/>
      <c r="L16" s="23"/>
      <c r="M16" s="23"/>
    </row>
    <row r="17" spans="1:13" x14ac:dyDescent="0.3">
      <c r="A17" s="5" t="s">
        <v>160</v>
      </c>
      <c r="B17" s="5" t="s">
        <v>165</v>
      </c>
      <c r="C17" s="5" t="s">
        <v>166</v>
      </c>
      <c r="D17" s="24"/>
      <c r="E17" s="24"/>
      <c r="F17" s="24"/>
      <c r="G17" s="25" t="s">
        <v>147</v>
      </c>
      <c r="H17" s="25" t="s">
        <v>147</v>
      </c>
      <c r="I17" s="24"/>
      <c r="J17" s="24"/>
      <c r="K17" s="24"/>
      <c r="L17" s="24"/>
      <c r="M17" s="24"/>
    </row>
    <row r="18" spans="1:13" x14ac:dyDescent="0.3">
      <c r="A18" s="2" t="s">
        <v>160</v>
      </c>
      <c r="B18" s="2" t="s">
        <v>165</v>
      </c>
      <c r="C18" s="2" t="s">
        <v>167</v>
      </c>
      <c r="D18" s="23"/>
      <c r="E18" s="23"/>
      <c r="F18" s="23"/>
      <c r="G18" s="25" t="s">
        <v>147</v>
      </c>
      <c r="H18" s="25" t="s">
        <v>147</v>
      </c>
      <c r="I18" s="25" t="s">
        <v>147</v>
      </c>
      <c r="J18" s="23"/>
      <c r="K18" s="23"/>
      <c r="L18" s="23"/>
      <c r="M18" s="23"/>
    </row>
    <row r="19" spans="1:13" x14ac:dyDescent="0.3">
      <c r="A19" s="5" t="s">
        <v>160</v>
      </c>
      <c r="B19" s="5" t="s">
        <v>168</v>
      </c>
      <c r="C19" s="5" t="s">
        <v>169</v>
      </c>
      <c r="D19" s="24"/>
      <c r="E19" s="24"/>
      <c r="F19" s="24"/>
      <c r="G19" s="24"/>
      <c r="H19" s="24"/>
      <c r="I19" s="24"/>
      <c r="J19" s="25" t="s">
        <v>147</v>
      </c>
      <c r="K19" s="25" t="s">
        <v>147</v>
      </c>
      <c r="L19" s="24"/>
      <c r="M19" s="24"/>
    </row>
    <row r="20" spans="1:13" x14ac:dyDescent="0.3">
      <c r="A20" s="2" t="s">
        <v>160</v>
      </c>
      <c r="B20" s="2" t="s">
        <v>168</v>
      </c>
      <c r="C20" s="2" t="s">
        <v>170</v>
      </c>
      <c r="D20" s="23"/>
      <c r="E20" s="23"/>
      <c r="F20" s="23"/>
      <c r="G20" s="23"/>
      <c r="H20" s="23"/>
      <c r="I20" s="23"/>
      <c r="J20" s="25" t="s">
        <v>147</v>
      </c>
      <c r="K20" s="25" t="s">
        <v>147</v>
      </c>
      <c r="L20" s="23"/>
      <c r="M20" s="23"/>
    </row>
    <row r="21" spans="1:13" x14ac:dyDescent="0.3">
      <c r="A21" s="5" t="s">
        <v>160</v>
      </c>
      <c r="B21" s="5" t="s">
        <v>171</v>
      </c>
      <c r="C21" s="5" t="s">
        <v>172</v>
      </c>
      <c r="D21" s="24"/>
      <c r="E21" s="24"/>
      <c r="F21" s="24"/>
      <c r="G21" s="24"/>
      <c r="H21" s="24"/>
      <c r="I21" s="24"/>
      <c r="J21" s="24"/>
      <c r="K21" s="24"/>
      <c r="L21" s="25" t="s">
        <v>147</v>
      </c>
      <c r="M21" s="25" t="s">
        <v>147</v>
      </c>
    </row>
    <row r="23" spans="1:13" x14ac:dyDescent="0.3">
      <c r="G23" s="32" t="s">
        <v>276</v>
      </c>
    </row>
  </sheetData>
  <mergeCells count="2">
    <mergeCell ref="G23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showGridLines="0" workbookViewId="0">
      <selection sqref="A1:G1"/>
    </sheetView>
  </sheetViews>
  <sheetFormatPr defaultRowHeight="14.4" x14ac:dyDescent="0.3"/>
  <cols>
    <col min="1" max="1" width="22" customWidth="1"/>
    <col min="2" max="2" width="26" customWidth="1"/>
    <col min="3" max="3" width="18" customWidth="1"/>
    <col min="4" max="5" width="38" customWidth="1"/>
    <col min="6" max="6" width="14" customWidth="1"/>
    <col min="7" max="7" width="52" customWidth="1"/>
  </cols>
  <sheetData>
    <row r="1" spans="1:7" ht="30" customHeight="1" x14ac:dyDescent="0.3">
      <c r="A1" s="29" t="s">
        <v>173</v>
      </c>
      <c r="B1" s="30"/>
      <c r="C1" s="30"/>
      <c r="D1" s="30"/>
      <c r="E1" s="30"/>
      <c r="F1" s="30"/>
      <c r="G1" s="30"/>
    </row>
    <row r="3" spans="1:7" x14ac:dyDescent="0.3">
      <c r="A3" s="1" t="s">
        <v>174</v>
      </c>
      <c r="B3" s="1" t="s">
        <v>175</v>
      </c>
      <c r="C3" s="1" t="s">
        <v>176</v>
      </c>
      <c r="D3" s="1" t="s">
        <v>177</v>
      </c>
      <c r="E3" s="1" t="s">
        <v>178</v>
      </c>
      <c r="F3" s="1" t="s">
        <v>179</v>
      </c>
      <c r="G3" s="1" t="s">
        <v>180</v>
      </c>
    </row>
    <row r="4" spans="1:7" ht="26.4" x14ac:dyDescent="0.3">
      <c r="A4" s="2" t="s">
        <v>181</v>
      </c>
      <c r="B4" s="2" t="s">
        <v>182</v>
      </c>
      <c r="C4" s="26" t="s">
        <v>183</v>
      </c>
      <c r="D4" s="2" t="s">
        <v>184</v>
      </c>
      <c r="E4" s="2" t="s">
        <v>185</v>
      </c>
      <c r="F4" s="7" t="s">
        <v>37</v>
      </c>
      <c r="G4" s="2" t="s">
        <v>186</v>
      </c>
    </row>
    <row r="5" spans="1:7" ht="26.4" x14ac:dyDescent="0.3">
      <c r="A5" s="5" t="s">
        <v>187</v>
      </c>
      <c r="B5" s="5" t="s">
        <v>188</v>
      </c>
      <c r="C5" s="27" t="s">
        <v>183</v>
      </c>
      <c r="D5" s="5" t="s">
        <v>189</v>
      </c>
      <c r="E5" s="5" t="s">
        <v>190</v>
      </c>
      <c r="F5" s="28" t="s">
        <v>191</v>
      </c>
      <c r="G5" s="5" t="s">
        <v>192</v>
      </c>
    </row>
    <row r="6" spans="1:7" x14ac:dyDescent="0.3">
      <c r="A6" s="2" t="s">
        <v>193</v>
      </c>
      <c r="B6" s="2" t="s">
        <v>194</v>
      </c>
      <c r="C6" s="4" t="s">
        <v>195</v>
      </c>
      <c r="D6" s="2" t="s">
        <v>196</v>
      </c>
      <c r="E6" s="2" t="s">
        <v>197</v>
      </c>
      <c r="F6" s="7" t="s">
        <v>37</v>
      </c>
      <c r="G6" s="2" t="s">
        <v>198</v>
      </c>
    </row>
    <row r="7" spans="1:7" ht="26.4" x14ac:dyDescent="0.3">
      <c r="A7" s="5" t="s">
        <v>199</v>
      </c>
      <c r="B7" s="5" t="s">
        <v>200</v>
      </c>
      <c r="C7" s="4" t="s">
        <v>195</v>
      </c>
      <c r="D7" s="5" t="s">
        <v>201</v>
      </c>
      <c r="E7" s="5" t="s">
        <v>202</v>
      </c>
      <c r="F7" s="28" t="s">
        <v>191</v>
      </c>
      <c r="G7" s="5" t="s">
        <v>203</v>
      </c>
    </row>
    <row r="8" spans="1:7" ht="26.4" x14ac:dyDescent="0.3">
      <c r="A8" s="2" t="s">
        <v>204</v>
      </c>
      <c r="B8" s="2" t="s">
        <v>205</v>
      </c>
      <c r="C8" s="11" t="s">
        <v>206</v>
      </c>
      <c r="D8" s="2" t="s">
        <v>207</v>
      </c>
      <c r="E8" s="2" t="s">
        <v>208</v>
      </c>
      <c r="F8" s="11" t="s">
        <v>209</v>
      </c>
      <c r="G8" s="2" t="s">
        <v>210</v>
      </c>
    </row>
    <row r="9" spans="1:7" x14ac:dyDescent="0.3">
      <c r="A9" s="5" t="s">
        <v>211</v>
      </c>
      <c r="B9" s="5" t="s">
        <v>212</v>
      </c>
      <c r="C9" s="7" t="s">
        <v>213</v>
      </c>
      <c r="D9" s="5" t="s">
        <v>214</v>
      </c>
      <c r="E9" s="5" t="s">
        <v>215</v>
      </c>
      <c r="F9" s="13" t="s">
        <v>216</v>
      </c>
      <c r="G9" s="5" t="s">
        <v>217</v>
      </c>
    </row>
    <row r="10" spans="1:7" x14ac:dyDescent="0.3">
      <c r="A10" s="2" t="s">
        <v>218</v>
      </c>
      <c r="B10" s="2" t="s">
        <v>219</v>
      </c>
      <c r="C10" s="7" t="s">
        <v>213</v>
      </c>
      <c r="D10" s="2" t="s">
        <v>220</v>
      </c>
      <c r="E10" s="2" t="s">
        <v>221</v>
      </c>
      <c r="F10" s="13" t="s">
        <v>216</v>
      </c>
      <c r="G10" s="2" t="s">
        <v>222</v>
      </c>
    </row>
    <row r="11" spans="1:7" ht="26.4" x14ac:dyDescent="0.3">
      <c r="A11" s="5" t="s">
        <v>223</v>
      </c>
      <c r="B11" s="5" t="s">
        <v>224</v>
      </c>
      <c r="C11" s="7" t="s">
        <v>213</v>
      </c>
      <c r="D11" s="5" t="s">
        <v>225</v>
      </c>
      <c r="E11" s="5" t="s">
        <v>226</v>
      </c>
      <c r="F11" s="13" t="s">
        <v>216</v>
      </c>
      <c r="G11" s="5" t="s">
        <v>227</v>
      </c>
    </row>
    <row r="12" spans="1:7" x14ac:dyDescent="0.3">
      <c r="A12" s="2" t="s">
        <v>228</v>
      </c>
      <c r="B12" s="2" t="s">
        <v>229</v>
      </c>
      <c r="C12" s="7" t="s">
        <v>213</v>
      </c>
      <c r="D12" s="2" t="s">
        <v>230</v>
      </c>
      <c r="E12" s="2" t="s">
        <v>231</v>
      </c>
      <c r="F12" s="11" t="s">
        <v>209</v>
      </c>
      <c r="G12" s="2" t="s">
        <v>232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showGridLines="0" tabSelected="1" workbookViewId="0">
      <selection sqref="A1:H1"/>
    </sheetView>
  </sheetViews>
  <sheetFormatPr defaultRowHeight="14.4" x14ac:dyDescent="0.3"/>
  <cols>
    <col min="1" max="1" width="38" customWidth="1"/>
    <col min="2" max="2" width="14" customWidth="1"/>
    <col min="3" max="3" width="16" customWidth="1"/>
    <col min="4" max="4" width="14" customWidth="1"/>
    <col min="5" max="5" width="16" customWidth="1"/>
    <col min="6" max="6" width="18" customWidth="1"/>
    <col min="7" max="7" width="30" customWidth="1"/>
    <col min="8" max="8" width="40" customWidth="1"/>
  </cols>
  <sheetData>
    <row r="1" spans="1:8" ht="30" customHeight="1" x14ac:dyDescent="0.3">
      <c r="A1" s="29" t="s">
        <v>233</v>
      </c>
      <c r="B1" s="30"/>
      <c r="C1" s="30"/>
      <c r="D1" s="30"/>
      <c r="E1" s="30"/>
      <c r="F1" s="30"/>
      <c r="G1" s="30"/>
      <c r="H1" s="30"/>
    </row>
    <row r="3" spans="1:8" ht="26.4" x14ac:dyDescent="0.3">
      <c r="A3" s="1" t="s">
        <v>234</v>
      </c>
      <c r="B3" s="1" t="s">
        <v>235</v>
      </c>
      <c r="C3" s="1" t="s">
        <v>236</v>
      </c>
      <c r="D3" s="1" t="s">
        <v>237</v>
      </c>
      <c r="E3" s="1" t="s">
        <v>238</v>
      </c>
      <c r="F3" s="1" t="s">
        <v>239</v>
      </c>
      <c r="G3" s="1" t="s">
        <v>240</v>
      </c>
      <c r="H3" s="1" t="s">
        <v>241</v>
      </c>
    </row>
    <row r="4" spans="1:8" x14ac:dyDescent="0.3">
      <c r="A4" s="2" t="s">
        <v>242</v>
      </c>
      <c r="B4" s="2" t="s">
        <v>243</v>
      </c>
      <c r="C4" s="7">
        <v>9</v>
      </c>
      <c r="D4" s="2">
        <v>7</v>
      </c>
      <c r="E4" s="2" t="s">
        <v>244</v>
      </c>
      <c r="F4" s="2" t="s">
        <v>38</v>
      </c>
      <c r="G4" s="2" t="s">
        <v>245</v>
      </c>
      <c r="H4" s="2" t="s">
        <v>246</v>
      </c>
    </row>
    <row r="5" spans="1:8" x14ac:dyDescent="0.3">
      <c r="A5" s="5" t="s">
        <v>247</v>
      </c>
      <c r="B5" s="5" t="s">
        <v>248</v>
      </c>
      <c r="C5" s="7">
        <v>9</v>
      </c>
      <c r="D5" s="5">
        <v>6</v>
      </c>
      <c r="E5" s="5" t="s">
        <v>249</v>
      </c>
      <c r="F5" s="5" t="s">
        <v>19</v>
      </c>
      <c r="G5" s="5" t="s">
        <v>250</v>
      </c>
      <c r="H5" s="5" t="s">
        <v>251</v>
      </c>
    </row>
    <row r="6" spans="1:8" x14ac:dyDescent="0.3">
      <c r="A6" s="2" t="s">
        <v>252</v>
      </c>
      <c r="B6" s="2" t="s">
        <v>111</v>
      </c>
      <c r="C6" s="7">
        <v>8</v>
      </c>
      <c r="D6" s="2">
        <v>5</v>
      </c>
      <c r="E6" s="2" t="s">
        <v>253</v>
      </c>
      <c r="F6" s="2" t="s">
        <v>254</v>
      </c>
      <c r="G6" s="2" t="s">
        <v>255</v>
      </c>
      <c r="H6" s="2" t="s">
        <v>256</v>
      </c>
    </row>
    <row r="7" spans="1:8" x14ac:dyDescent="0.3">
      <c r="A7" s="5" t="s">
        <v>257</v>
      </c>
      <c r="B7" s="5" t="s">
        <v>258</v>
      </c>
      <c r="C7" s="13">
        <v>7</v>
      </c>
      <c r="D7" s="5">
        <v>8</v>
      </c>
      <c r="E7" s="5" t="s">
        <v>259</v>
      </c>
      <c r="F7" s="5" t="s">
        <v>254</v>
      </c>
      <c r="G7" s="5" t="s">
        <v>260</v>
      </c>
      <c r="H7" s="5" t="s">
        <v>261</v>
      </c>
    </row>
    <row r="8" spans="1:8" x14ac:dyDescent="0.3">
      <c r="A8" s="2" t="s">
        <v>262</v>
      </c>
      <c r="B8" s="2" t="s">
        <v>111</v>
      </c>
      <c r="C8" s="13">
        <v>7</v>
      </c>
      <c r="D8" s="2">
        <v>9</v>
      </c>
      <c r="E8" s="2" t="s">
        <v>263</v>
      </c>
      <c r="F8" s="2" t="s">
        <v>254</v>
      </c>
      <c r="G8" s="2" t="s">
        <v>264</v>
      </c>
      <c r="H8" s="2" t="s">
        <v>265</v>
      </c>
    </row>
    <row r="9" spans="1:8" x14ac:dyDescent="0.3">
      <c r="A9" s="5" t="s">
        <v>266</v>
      </c>
      <c r="B9" s="5" t="s">
        <v>111</v>
      </c>
      <c r="C9" s="4">
        <v>5</v>
      </c>
      <c r="D9" s="5">
        <v>9</v>
      </c>
      <c r="E9" s="5" t="s">
        <v>267</v>
      </c>
      <c r="F9" s="5" t="s">
        <v>254</v>
      </c>
      <c r="G9" s="5" t="s">
        <v>268</v>
      </c>
      <c r="H9" s="5" t="s">
        <v>269</v>
      </c>
    </row>
    <row r="10" spans="1:8" x14ac:dyDescent="0.3">
      <c r="A10" s="2" t="s">
        <v>270</v>
      </c>
      <c r="B10" s="2" t="s">
        <v>248</v>
      </c>
      <c r="C10" s="7">
        <v>9</v>
      </c>
      <c r="D10" s="2">
        <v>4</v>
      </c>
      <c r="E10" s="2" t="s">
        <v>253</v>
      </c>
      <c r="F10" s="2" t="s">
        <v>19</v>
      </c>
      <c r="G10" s="2" t="s">
        <v>250</v>
      </c>
      <c r="H10" s="2" t="s">
        <v>271</v>
      </c>
    </row>
    <row r="11" spans="1:8" x14ac:dyDescent="0.3">
      <c r="A11" s="5" t="s">
        <v>272</v>
      </c>
      <c r="B11" s="5" t="s">
        <v>243</v>
      </c>
      <c r="C11" s="7">
        <v>8</v>
      </c>
      <c r="D11" s="5">
        <v>6</v>
      </c>
      <c r="E11" s="5" t="s">
        <v>273</v>
      </c>
      <c r="F11" s="5" t="s">
        <v>38</v>
      </c>
      <c r="G11" s="5" t="s">
        <v>274</v>
      </c>
      <c r="H11" s="5" t="s">
        <v>275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KPIs</vt:lpstr>
      <vt:lpstr>Procurement_Survey</vt:lpstr>
      <vt:lpstr>MWBE_Owner_Survey</vt:lpstr>
      <vt:lpstr>Comparative_Analysis</vt:lpstr>
      <vt:lpstr>Barriers</vt:lpstr>
      <vt:lpstr>Project_Roadmap</vt:lpstr>
      <vt:lpstr>Interview_Coding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Rashi Sharma</cp:lastModifiedBy>
  <dcterms:created xsi:type="dcterms:W3CDTF">2026-03-29T15:38:53Z</dcterms:created>
  <dcterms:modified xsi:type="dcterms:W3CDTF">2026-03-29T18:01:33Z</dcterms:modified>
</cp:coreProperties>
</file>